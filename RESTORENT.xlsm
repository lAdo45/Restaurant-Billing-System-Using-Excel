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OneDrive\Desktop\RESTORENT\"/>
    </mc:Choice>
  </mc:AlternateContent>
  <xr:revisionPtr revIDLastSave="0" documentId="13_ncr:1_{638962B7-CAEA-442B-9427-8EF703AD35E6}" xr6:coauthVersionLast="47" xr6:coauthVersionMax="47" xr10:uidLastSave="{00000000-0000-0000-0000-000000000000}"/>
  <bookViews>
    <workbookView xWindow="-108" yWindow="-108" windowWidth="23256" windowHeight="12456" activeTab="9" xr2:uid="{00000000-000D-0000-FFFF-FFFF00000000}"/>
  </bookViews>
  <sheets>
    <sheet name="LL_DATA" sheetId="1" r:id="rId1"/>
    <sheet name="DATASET" sheetId="2" r:id="rId2"/>
    <sheet name="Table2 data" sheetId="8" r:id="rId3"/>
    <sheet name="REPORT5" sheetId="5" r:id="rId4"/>
    <sheet name="REPORT2" sheetId="10" r:id="rId5"/>
    <sheet name="REPORT3" sheetId="11" r:id="rId6"/>
    <sheet name="REPORT4" sheetId="13" r:id="rId7"/>
    <sheet name="REPORTS" sheetId="12" r:id="rId8"/>
    <sheet name="WAITER" sheetId="3" r:id="rId9"/>
    <sheet name="Bill" sheetId="6" r:id="rId10"/>
  </sheets>
  <definedNames>
    <definedName name="Beverages">DATASET!$M$5:$M$8</definedName>
    <definedName name="Bhel_Puri">DATASET!$G$19</definedName>
    <definedName name="Brades">DATASET!$Q$5:$Q$9</definedName>
    <definedName name="Brownie">DATASET!$O$27</definedName>
    <definedName name="Butter_Chicken">DATASET!$I$22</definedName>
    <definedName name="Category">DATASET!$A$5:$A$13</definedName>
    <definedName name="Chinese">DATASET!$K$5:$K$9</definedName>
    <definedName name="Chole_Bhature">DATASET!$I$25</definedName>
    <definedName name="Chowmein">DATASET!$K$22</definedName>
    <definedName name="Cold_Coffee">DATASET!$M$20</definedName>
    <definedName name="Dal_Makhani">DATASET!$I$28</definedName>
    <definedName name="Desserts">DATASET!$O$5:$O$9</definedName>
    <definedName name="Fresh_Lime_Soda">DATASET!$M$23</definedName>
    <definedName name="Fried_Rice">DATASET!$K$28</definedName>
    <definedName name="Gulab_Jamun">DATASET!$O$30</definedName>
    <definedName name="Hakka_Noodles">DATASET!$K$25</definedName>
    <definedName name="Ice_Cream">DATASET!$O$33</definedName>
    <definedName name="Idli_Sambar">DATASET!$E$29</definedName>
    <definedName name="Kachori">DATASET!$G$22</definedName>
    <definedName name="Kheer">DATASET!$O$36</definedName>
    <definedName name="Lassi">DATASET!$M$26</definedName>
    <definedName name="Manchurian">DATASET!$K$31</definedName>
    <definedName name="Marathi_Dishes">DATASET!$C$5:$C$9</definedName>
    <definedName name="Masala_Dosa">DATASET!$E$32</definedName>
    <definedName name="Medu_Vada">DATASET!$E$35</definedName>
    <definedName name="Milkshake">DATASET!$M$29</definedName>
    <definedName name="Misal_Pav">DATASET!$C$17</definedName>
    <definedName name="Poha">DATASET!$C$20</definedName>
    <definedName name="_xlnm.Print_Area" localSheetId="9">Bill!$U$2:$AB$69</definedName>
    <definedName name="Punjabi_Dishes">DATASET!$I$5:$I$8</definedName>
    <definedName name="Puran_Poli">DATASET!$C$23</definedName>
    <definedName name="Rasgulla">DATASET!$O$39</definedName>
    <definedName name="Rice">DATASET!$S$5:$S$8</definedName>
    <definedName name="Samosa">DATASET!$G$25</definedName>
    <definedName name="Shahi_Paneer">DATASET!$I$31</definedName>
    <definedName name="Snacks">DATASET!$G$5:$G$8</definedName>
    <definedName name="South_Indian_Dishes">DATASET!$E$5:$E$9</definedName>
    <definedName name="Spring_Roll">DATASET!$K$34</definedName>
    <definedName name="Thalipeeth">DATASET!$C$26</definedName>
    <definedName name="Upma">DATASET!$E$38</definedName>
    <definedName name="Uttapam">DATASET!$E$41</definedName>
    <definedName name="Vada_Pav">DATASET!$G$28</definedName>
    <definedName name="Zunka_Bhakri">DATASET!$C$29</definedName>
  </definedNames>
  <calcPr calcId="191029"/>
</workbook>
</file>

<file path=xl/calcChain.xml><?xml version="1.0" encoding="utf-8"?>
<calcChain xmlns="http://schemas.openxmlformats.org/spreadsheetml/2006/main">
  <c r="Z16" i="6" l="1"/>
  <c r="Z11" i="6" s="1"/>
  <c r="G3" i="12"/>
  <c r="B3" i="12"/>
  <c r="Z17" i="6"/>
  <c r="G4" i="12"/>
  <c r="B4" i="12"/>
  <c r="G3" i="10"/>
  <c r="B3" i="10"/>
  <c r="G4" i="10"/>
  <c r="B4" i="10"/>
  <c r="G5" i="12"/>
  <c r="B5" i="12"/>
  <c r="G3" i="11"/>
  <c r="B3" i="11"/>
  <c r="G3" i="13"/>
  <c r="B3" i="13"/>
  <c r="G5" i="10"/>
  <c r="B5" i="10"/>
  <c r="G6" i="12"/>
  <c r="B6" i="12"/>
  <c r="G7" i="12"/>
  <c r="B7" i="12"/>
  <c r="G3" i="5"/>
  <c r="B3" i="5"/>
  <c r="G4" i="5"/>
  <c r="B4" i="5"/>
  <c r="G5" i="5"/>
  <c r="B5" i="5"/>
  <c r="G4" i="13"/>
  <c r="B4" i="13"/>
  <c r="G5" i="13"/>
  <c r="B5" i="13"/>
  <c r="G6" i="13"/>
  <c r="B6" i="13"/>
  <c r="G4" i="11"/>
  <c r="B4" i="11"/>
  <c r="G5" i="11"/>
  <c r="B5" i="11"/>
  <c r="G6" i="11"/>
  <c r="B6" i="11"/>
  <c r="G6" i="10"/>
  <c r="B6" i="10"/>
  <c r="G7" i="10"/>
  <c r="B7" i="10"/>
  <c r="G8" i="10"/>
  <c r="B8" i="10"/>
  <c r="G8" i="12"/>
  <c r="B8" i="12"/>
  <c r="G9" i="12"/>
  <c r="B9" i="12"/>
  <c r="G10" i="12"/>
  <c r="B10" i="12"/>
  <c r="W12" i="6"/>
  <c r="V15" i="3"/>
  <c r="B3" i="8"/>
  <c r="G3" i="8"/>
  <c r="B4" i="8"/>
  <c r="G4" i="8"/>
  <c r="B5" i="8"/>
  <c r="G5" i="8"/>
</calcChain>
</file>

<file path=xl/sharedStrings.xml><?xml version="1.0" encoding="utf-8"?>
<sst xmlns="http://schemas.openxmlformats.org/spreadsheetml/2006/main" count="424" uniqueCount="85">
  <si>
    <t>Category</t>
  </si>
  <si>
    <t>Dish Name</t>
  </si>
  <si>
    <t>Price</t>
  </si>
  <si>
    <t>Marathi Dishes</t>
  </si>
  <si>
    <t>South Indian Dishes</t>
  </si>
  <si>
    <t>Punjabi Dishes</t>
  </si>
  <si>
    <t>Desserts</t>
  </si>
  <si>
    <t>Beverages</t>
  </si>
  <si>
    <t>Chinese</t>
  </si>
  <si>
    <t>Snacks</t>
  </si>
  <si>
    <t>Zunka Bhakri</t>
  </si>
  <si>
    <t>Puran Poli</t>
  </si>
  <si>
    <t>Uttapam</t>
  </si>
  <si>
    <t>Dal Makhani</t>
  </si>
  <si>
    <t>Medu Vada</t>
  </si>
  <si>
    <t>Ice Cream</t>
  </si>
  <si>
    <t>Poha</t>
  </si>
  <si>
    <t>Upma</t>
  </si>
  <si>
    <t>Thalipeeth</t>
  </si>
  <si>
    <t>Lassi</t>
  </si>
  <si>
    <t>Spring Roll</t>
  </si>
  <si>
    <t>Idli Sambar</t>
  </si>
  <si>
    <t>Hakka Noodles</t>
  </si>
  <si>
    <t>Chowmein</t>
  </si>
  <si>
    <t>Masala Dosa</t>
  </si>
  <si>
    <t>Cold Coffee</t>
  </si>
  <si>
    <t>Misal Pav</t>
  </si>
  <si>
    <t>Fresh Lime Soda</t>
  </si>
  <si>
    <t>Samosa</t>
  </si>
  <si>
    <t>Gulab Jamun</t>
  </si>
  <si>
    <t>Chole Bhature</t>
  </si>
  <si>
    <t>Manchurian</t>
  </si>
  <si>
    <t>Kachori</t>
  </si>
  <si>
    <t>Milkshake</t>
  </si>
  <si>
    <t>Kheer</t>
  </si>
  <si>
    <t>Fried Rice</t>
  </si>
  <si>
    <t>Bhel Puri</t>
  </si>
  <si>
    <t>Rasgulla</t>
  </si>
  <si>
    <t>Butter Chicken</t>
  </si>
  <si>
    <t>Shahi Paneer</t>
  </si>
  <si>
    <t>Brownie</t>
  </si>
  <si>
    <t>Vada Pav</t>
  </si>
  <si>
    <t>Qty</t>
  </si>
  <si>
    <t>Marathi_Dishes</t>
  </si>
  <si>
    <t>South_Indian_Dishes</t>
  </si>
  <si>
    <t>Punjabi_Dishes</t>
  </si>
  <si>
    <t>Misal_Pav</t>
  </si>
  <si>
    <t>Puran_Poli</t>
  </si>
  <si>
    <t>Zunka_Bhakri</t>
  </si>
  <si>
    <t>Idli_Sambar</t>
  </si>
  <si>
    <t>Masala_Dosa</t>
  </si>
  <si>
    <t>Medu_Vada</t>
  </si>
  <si>
    <t>Bhel_Puri</t>
  </si>
  <si>
    <t>Vada_Pav</t>
  </si>
  <si>
    <t>Butter_Chicken</t>
  </si>
  <si>
    <t>Chole_Bhature</t>
  </si>
  <si>
    <t>Dal_Makhani</t>
  </si>
  <si>
    <t>Shahi_Paneer</t>
  </si>
  <si>
    <t>Fried_Rice</t>
  </si>
  <si>
    <t>Hakka_Noodles</t>
  </si>
  <si>
    <t>Spring_Roll</t>
  </si>
  <si>
    <t>Cold_Coffee</t>
  </si>
  <si>
    <t>Fresh_Lime_Soda</t>
  </si>
  <si>
    <t>Gulab_Jamun</t>
  </si>
  <si>
    <t>Ice_Cream</t>
  </si>
  <si>
    <t>items</t>
  </si>
  <si>
    <t>Quantity</t>
  </si>
  <si>
    <t>अप्पा चा ढाबा</t>
  </si>
  <si>
    <t>Table number</t>
  </si>
  <si>
    <t>Date/Time</t>
  </si>
  <si>
    <t>Dishes Name</t>
  </si>
  <si>
    <t>Total</t>
  </si>
  <si>
    <t>Total Amount</t>
  </si>
  <si>
    <t>Dishe Name</t>
  </si>
  <si>
    <t>Brades</t>
  </si>
  <si>
    <t>Rice</t>
  </si>
  <si>
    <t>Tanduri_Roti</t>
  </si>
  <si>
    <t>Tava_Roti</t>
  </si>
  <si>
    <t>Butter_Naan</t>
  </si>
  <si>
    <t>Garlic_Naan</t>
  </si>
  <si>
    <t>laccha_paratha</t>
  </si>
  <si>
    <t>Plane_Rice</t>
  </si>
  <si>
    <t>Jeera_Rice</t>
  </si>
  <si>
    <t>Veg_Pulao</t>
  </si>
  <si>
    <t>Chicken_Biryani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</si>
</sst>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6"/>
      <color theme="1"/>
      <name val="Arial Black"/>
      <family val="2"/>
    </font>
    <font>
      <b/>
      <sz val="22"/>
      <color theme="1"/>
      <name val="Bahnschrift Light"/>
      <family val="2"/>
    </font>
    <font>
      <sz val="11"/>
      <color theme="1"/>
      <name val="Cascadia Code"/>
      <family val="3"/>
    </font>
    <font>
      <b/>
      <sz val="16"/>
      <color theme="1"/>
      <name val="Cascadia Code"/>
      <family val="3"/>
    </font>
    <font>
      <b/>
      <sz val="14"/>
      <color theme="1"/>
      <name val="Cascadia Code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2" xfId="0" applyFont="1" applyBorder="1" applyAlignment="1">
      <alignment horizontal="center" vertical="top"/>
    </xf>
    <xf numFmtId="0" fontId="0" fillId="2" borderId="3" xfId="0" applyFill="1" applyBorder="1"/>
    <xf numFmtId="0" fontId="0" fillId="2" borderId="4" xfId="0" applyFill="1" applyBorder="1"/>
    <xf numFmtId="0" fontId="0" fillId="3" borderId="4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7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22" fontId="1" fillId="0" borderId="1" xfId="0" applyNumberFormat="1" applyFont="1" applyBorder="1"/>
    <xf numFmtId="0" fontId="9" fillId="0" borderId="0" xfId="0" applyFont="1"/>
    <xf numFmtId="22" fontId="1" fillId="0" borderId="0" xfId="0" applyNumberFormat="1" applyFont="1"/>
    <xf numFmtId="14" fontId="0" fillId="0" borderId="0" xfId="0" applyNumberFormat="1"/>
    <xf numFmtId="22" fontId="3" fillId="0" borderId="1" xfId="0" applyNumberFormat="1" applyFont="1" applyBorder="1"/>
    <xf numFmtId="0" fontId="3" fillId="0" borderId="0" xfId="0" applyFont="1"/>
    <xf numFmtId="0" fontId="11" fillId="0" borderId="1" xfId="0" applyFont="1" applyBorder="1"/>
    <xf numFmtId="0" fontId="3" fillId="0" borderId="1" xfId="0" applyFont="1" applyBorder="1"/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6" xfId="0" applyFont="1" applyBorder="1" applyAlignment="1">
      <alignment horizontal="left" vertical="center" indent="28"/>
    </xf>
    <xf numFmtId="0" fontId="8" fillId="0" borderId="7" xfId="0" applyFont="1" applyBorder="1" applyAlignment="1">
      <alignment horizontal="left" vertical="center" indent="28"/>
    </xf>
    <xf numFmtId="0" fontId="8" fillId="0" borderId="8" xfId="0" applyFont="1" applyBorder="1" applyAlignment="1">
      <alignment horizontal="left" vertical="center" indent="28"/>
    </xf>
    <xf numFmtId="0" fontId="8" fillId="0" borderId="18" xfId="0" applyFont="1" applyBorder="1" applyAlignment="1">
      <alignment horizontal="left" vertical="center" indent="28"/>
    </xf>
    <xf numFmtId="0" fontId="8" fillId="0" borderId="0" xfId="0" applyFont="1" applyAlignment="1">
      <alignment horizontal="left" vertical="center" indent="28"/>
    </xf>
    <xf numFmtId="0" fontId="8" fillId="0" borderId="19" xfId="0" applyFont="1" applyBorder="1" applyAlignment="1">
      <alignment horizontal="left" vertical="center" indent="28"/>
    </xf>
    <xf numFmtId="0" fontId="8" fillId="0" borderId="20" xfId="0" applyFont="1" applyBorder="1" applyAlignment="1">
      <alignment horizontal="left" vertical="center" indent="28"/>
    </xf>
    <xf numFmtId="0" fontId="8" fillId="0" borderId="21" xfId="0" applyFont="1" applyBorder="1" applyAlignment="1">
      <alignment horizontal="left" vertical="center" indent="28"/>
    </xf>
    <xf numFmtId="0" fontId="8" fillId="0" borderId="22" xfId="0" applyFont="1" applyBorder="1" applyAlignment="1">
      <alignment horizontal="left" vertical="center" indent="28"/>
    </xf>
    <xf numFmtId="0" fontId="11" fillId="0" borderId="0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6" fmlaLink="$T$20" max="3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18</xdr:row>
      <xdr:rowOff>19050</xdr:rowOff>
    </xdr:from>
    <xdr:to>
      <xdr:col>10</xdr:col>
      <xdr:colOff>600075</xdr:colOff>
      <xdr:row>21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4441E2A-DF83-4F30-887A-A8BE761A16AE}"/>
            </a:ext>
          </a:extLst>
        </xdr:cNvPr>
        <xdr:cNvSpPr/>
      </xdr:nvSpPr>
      <xdr:spPr>
        <a:xfrm>
          <a:off x="5549726" y="2889598"/>
          <a:ext cx="2426787" cy="5645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22</xdr:row>
      <xdr:rowOff>19050</xdr:rowOff>
    </xdr:from>
    <xdr:to>
      <xdr:col>10</xdr:col>
      <xdr:colOff>600075</xdr:colOff>
      <xdr:row>25</xdr:row>
      <xdr:rowOff>9525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338A55F-64E1-4861-8799-5CACA7CD8777}"/>
            </a:ext>
          </a:extLst>
        </xdr:cNvPr>
        <xdr:cNvSpPr/>
      </xdr:nvSpPr>
      <xdr:spPr>
        <a:xfrm>
          <a:off x="5549726" y="2889598"/>
          <a:ext cx="2426787" cy="5645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274307</xdr:colOff>
      <xdr:row>16</xdr:row>
      <xdr:rowOff>67519</xdr:rowOff>
    </xdr:from>
    <xdr:to>
      <xdr:col>21</xdr:col>
      <xdr:colOff>1061012</xdr:colOff>
      <xdr:row>17</xdr:row>
      <xdr:rowOff>241138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7AA22559-9E6F-425B-9022-16061B4AA26F}"/>
            </a:ext>
          </a:extLst>
        </xdr:cNvPr>
        <xdr:cNvGrpSpPr/>
      </xdr:nvGrpSpPr>
      <xdr:grpSpPr>
        <a:xfrm>
          <a:off x="6506378" y="3233448"/>
          <a:ext cx="786705" cy="527404"/>
          <a:chOff x="4827012" y="6265249"/>
          <a:chExt cx="2432480" cy="565428"/>
        </a:xfrm>
      </xdr:grpSpPr>
      <xdr:sp macro="[0]!RR_1" textlink="">
        <xdr:nvSpPr>
          <xdr:cNvPr id="24" name="Rectangle 23">
            <a:extLst>
              <a:ext uri="{FF2B5EF4-FFF2-40B4-BE49-F238E27FC236}">
                <a16:creationId xmlns:a16="http://schemas.microsoft.com/office/drawing/2014/main" id="{39AFE7FC-23C6-586B-1DD9-A26DB9BC69E6}"/>
              </a:ext>
            </a:extLst>
          </xdr:cNvPr>
          <xdr:cNvSpPr/>
        </xdr:nvSpPr>
        <xdr:spPr>
          <a:xfrm>
            <a:off x="4827012" y="6265249"/>
            <a:ext cx="2432480" cy="565428"/>
          </a:xfrm>
          <a:prstGeom prst="rect">
            <a:avLst/>
          </a:prstGeom>
          <a:solidFill>
            <a:schemeClr val="accent2">
              <a:lumMod val="75000"/>
            </a:schemeClr>
          </a:solidFill>
          <a:ln w="3175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R_1" textlink="">
        <xdr:nvSpPr>
          <xdr:cNvPr id="25" name="TextBox 24">
            <a:extLst>
              <a:ext uri="{FF2B5EF4-FFF2-40B4-BE49-F238E27FC236}">
                <a16:creationId xmlns:a16="http://schemas.microsoft.com/office/drawing/2014/main" id="{B4EC15F3-799B-93B8-A35C-4C399B5FFB53}"/>
              </a:ext>
            </a:extLst>
          </xdr:cNvPr>
          <xdr:cNvSpPr txBox="1"/>
        </xdr:nvSpPr>
        <xdr:spPr>
          <a:xfrm>
            <a:off x="5043317" y="6371504"/>
            <a:ext cx="2018844" cy="3415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rgbClr val="FFFFFF"/>
                </a:solidFill>
              </a:rPr>
              <a:t>T1</a:t>
            </a:r>
          </a:p>
        </xdr:txBody>
      </xdr:sp>
    </xdr:grpSp>
    <xdr:clientData/>
  </xdr:twoCellAnchor>
  <xdr:oneCellAnchor>
    <xdr:from>
      <xdr:col>18</xdr:col>
      <xdr:colOff>469794</xdr:colOff>
      <xdr:row>8</xdr:row>
      <xdr:rowOff>91074</xdr:rowOff>
    </xdr:from>
    <xdr:ext cx="706634" cy="682520"/>
    <xdr:pic>
      <xdr:nvPicPr>
        <xdr:cNvPr id="8" name="Picture 7">
          <a:extLst>
            <a:ext uri="{FF2B5EF4-FFF2-40B4-BE49-F238E27FC236}">
              <a16:creationId xmlns:a16="http://schemas.microsoft.com/office/drawing/2014/main" id="{AF8A5281-FD87-4AF4-B047-3C1A0B9A2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36579" y="1566846"/>
          <a:ext cx="706634" cy="682520"/>
        </a:xfrm>
        <a:prstGeom prst="round2DiagRect">
          <a:avLst>
            <a:gd name="adj1" fmla="val 16667"/>
            <a:gd name="adj2" fmla="val 0"/>
          </a:avLst>
        </a:prstGeom>
        <a:ln w="12700" cap="sq">
          <a:solidFill>
            <a:schemeClr val="bg2">
              <a:lumMod val="10000"/>
            </a:schemeClr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388620</xdr:colOff>
          <xdr:row>19</xdr:row>
          <xdr:rowOff>0</xdr:rowOff>
        </xdr:from>
        <xdr:to>
          <xdr:col>20</xdr:col>
          <xdr:colOff>1341120</xdr:colOff>
          <xdr:row>21</xdr:row>
          <xdr:rowOff>7620</xdr:rowOff>
        </xdr:to>
        <xdr:sp macro="" textlink="">
          <xdr:nvSpPr>
            <xdr:cNvPr id="3282" name="Spinner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8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21</xdr:col>
      <xdr:colOff>270076</xdr:colOff>
      <xdr:row>18</xdr:row>
      <xdr:rowOff>19291</xdr:rowOff>
    </xdr:from>
    <xdr:to>
      <xdr:col>21</xdr:col>
      <xdr:colOff>1056781</xdr:colOff>
      <xdr:row>19</xdr:row>
      <xdr:rowOff>173619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FE0732FE-5657-43EC-9F53-56FEE9CE32B5}"/>
            </a:ext>
          </a:extLst>
        </xdr:cNvPr>
        <xdr:cNvGrpSpPr/>
      </xdr:nvGrpSpPr>
      <xdr:grpSpPr>
        <a:xfrm>
          <a:off x="6502147" y="3910934"/>
          <a:ext cx="786705" cy="526256"/>
          <a:chOff x="4827012" y="6265249"/>
          <a:chExt cx="2432480" cy="565428"/>
        </a:xfrm>
      </xdr:grpSpPr>
      <xdr:sp macro="[0]!RR_2" textlink="">
        <xdr:nvSpPr>
          <xdr:cNvPr id="42" name="Rectangle 41">
            <a:extLst>
              <a:ext uri="{FF2B5EF4-FFF2-40B4-BE49-F238E27FC236}">
                <a16:creationId xmlns:a16="http://schemas.microsoft.com/office/drawing/2014/main" id="{958645D4-34C2-4386-40EB-B090E1814AD2}"/>
              </a:ext>
            </a:extLst>
          </xdr:cNvPr>
          <xdr:cNvSpPr/>
        </xdr:nvSpPr>
        <xdr:spPr>
          <a:xfrm>
            <a:off x="4827012" y="6265249"/>
            <a:ext cx="2432480" cy="565428"/>
          </a:xfrm>
          <a:prstGeom prst="rect">
            <a:avLst/>
          </a:prstGeom>
          <a:solidFill>
            <a:schemeClr val="accent2">
              <a:lumMod val="75000"/>
            </a:schemeClr>
          </a:solidFill>
          <a:ln w="3175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R_2" textlink="">
        <xdr:nvSpPr>
          <xdr:cNvPr id="43" name="TextBox 42">
            <a:extLst>
              <a:ext uri="{FF2B5EF4-FFF2-40B4-BE49-F238E27FC236}">
                <a16:creationId xmlns:a16="http://schemas.microsoft.com/office/drawing/2014/main" id="{71EC859B-AA19-9796-6BAA-B411039C9A62}"/>
              </a:ext>
            </a:extLst>
          </xdr:cNvPr>
          <xdr:cNvSpPr txBox="1"/>
        </xdr:nvSpPr>
        <xdr:spPr>
          <a:xfrm>
            <a:off x="5043317" y="6371504"/>
            <a:ext cx="2018844" cy="3415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rgbClr val="FFFFFF"/>
                </a:solidFill>
              </a:rPr>
              <a:t>T2</a:t>
            </a:r>
          </a:p>
        </xdr:txBody>
      </xdr:sp>
    </xdr:grpSp>
    <xdr:clientData/>
  </xdr:twoCellAnchor>
  <xdr:twoCellAnchor>
    <xdr:from>
      <xdr:col>21</xdr:col>
      <xdr:colOff>260430</xdr:colOff>
      <xdr:row>19</xdr:row>
      <xdr:rowOff>318304</xdr:rowOff>
    </xdr:from>
    <xdr:to>
      <xdr:col>21</xdr:col>
      <xdr:colOff>1047135</xdr:colOff>
      <xdr:row>22</xdr:row>
      <xdr:rowOff>115745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D45322A-DCEE-4CB8-AD5C-A1E2E3D10505}"/>
            </a:ext>
          </a:extLst>
        </xdr:cNvPr>
        <xdr:cNvGrpSpPr/>
      </xdr:nvGrpSpPr>
      <xdr:grpSpPr>
        <a:xfrm>
          <a:off x="6492501" y="4581875"/>
          <a:ext cx="786705" cy="523156"/>
          <a:chOff x="4827012" y="6265249"/>
          <a:chExt cx="2432480" cy="565428"/>
        </a:xfrm>
      </xdr:grpSpPr>
      <xdr:sp macro="[0]!RR_3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784CE0F-D3C0-D12D-F4E5-4661B6F3C9C7}"/>
              </a:ext>
            </a:extLst>
          </xdr:cNvPr>
          <xdr:cNvSpPr/>
        </xdr:nvSpPr>
        <xdr:spPr>
          <a:xfrm>
            <a:off x="4827012" y="6265249"/>
            <a:ext cx="2432480" cy="565428"/>
          </a:xfrm>
          <a:prstGeom prst="rect">
            <a:avLst/>
          </a:prstGeom>
          <a:solidFill>
            <a:schemeClr val="accent2">
              <a:lumMod val="75000"/>
            </a:schemeClr>
          </a:solidFill>
          <a:ln w="3175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R_3" textlink="">
        <xdr:nvSpPr>
          <xdr:cNvPr id="46" name="TextBox 45">
            <a:extLst>
              <a:ext uri="{FF2B5EF4-FFF2-40B4-BE49-F238E27FC236}">
                <a16:creationId xmlns:a16="http://schemas.microsoft.com/office/drawing/2014/main" id="{A500B784-9B35-8061-1A97-E17282584BEB}"/>
              </a:ext>
            </a:extLst>
          </xdr:cNvPr>
          <xdr:cNvSpPr txBox="1"/>
        </xdr:nvSpPr>
        <xdr:spPr>
          <a:xfrm>
            <a:off x="5043317" y="6371504"/>
            <a:ext cx="2018844" cy="3415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rgbClr val="FFFFFF"/>
                </a:solidFill>
              </a:rPr>
              <a:t>T3</a:t>
            </a:r>
          </a:p>
        </xdr:txBody>
      </xdr:sp>
    </xdr:grpSp>
    <xdr:clientData/>
  </xdr:twoCellAnchor>
  <xdr:twoCellAnchor>
    <xdr:from>
      <xdr:col>21</xdr:col>
      <xdr:colOff>270076</xdr:colOff>
      <xdr:row>23</xdr:row>
      <xdr:rowOff>86810</xdr:rowOff>
    </xdr:from>
    <xdr:to>
      <xdr:col>21</xdr:col>
      <xdr:colOff>1056781</xdr:colOff>
      <xdr:row>26</xdr:row>
      <xdr:rowOff>48226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3CFD9F7F-1F53-40DE-97B9-BE9A2A40B3EE}"/>
            </a:ext>
          </a:extLst>
        </xdr:cNvPr>
        <xdr:cNvGrpSpPr/>
      </xdr:nvGrpSpPr>
      <xdr:grpSpPr>
        <a:xfrm>
          <a:off x="6502147" y="5266596"/>
          <a:ext cx="786705" cy="523844"/>
          <a:chOff x="4827012" y="6265249"/>
          <a:chExt cx="2432480" cy="565428"/>
        </a:xfrm>
      </xdr:grpSpPr>
      <xdr:sp macro="[0]!RR_4" textlink="">
        <xdr:nvSpPr>
          <xdr:cNvPr id="48" name="Rectangle 47">
            <a:extLst>
              <a:ext uri="{FF2B5EF4-FFF2-40B4-BE49-F238E27FC236}">
                <a16:creationId xmlns:a16="http://schemas.microsoft.com/office/drawing/2014/main" id="{54F6EBC0-24B2-3789-7FB6-4166F346F1C3}"/>
              </a:ext>
            </a:extLst>
          </xdr:cNvPr>
          <xdr:cNvSpPr/>
        </xdr:nvSpPr>
        <xdr:spPr>
          <a:xfrm>
            <a:off x="4827012" y="6265249"/>
            <a:ext cx="2432480" cy="565428"/>
          </a:xfrm>
          <a:prstGeom prst="rect">
            <a:avLst/>
          </a:prstGeom>
          <a:solidFill>
            <a:schemeClr val="accent2">
              <a:lumMod val="75000"/>
            </a:schemeClr>
          </a:solidFill>
          <a:ln w="3175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R_4" textlink="">
        <xdr:nvSpPr>
          <xdr:cNvPr id="49" name="TextBox 48">
            <a:extLst>
              <a:ext uri="{FF2B5EF4-FFF2-40B4-BE49-F238E27FC236}">
                <a16:creationId xmlns:a16="http://schemas.microsoft.com/office/drawing/2014/main" id="{0E856A3B-C6A5-FC13-0ED1-C441645C45AC}"/>
              </a:ext>
            </a:extLst>
          </xdr:cNvPr>
          <xdr:cNvSpPr txBox="1"/>
        </xdr:nvSpPr>
        <xdr:spPr>
          <a:xfrm>
            <a:off x="5043317" y="6371504"/>
            <a:ext cx="2018844" cy="3415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rgbClr val="FFFFFF"/>
                </a:solidFill>
              </a:rPr>
              <a:t>T4</a:t>
            </a:r>
          </a:p>
        </xdr:txBody>
      </xdr:sp>
    </xdr:grpSp>
    <xdr:clientData/>
  </xdr:twoCellAnchor>
  <xdr:twoCellAnchor>
    <xdr:from>
      <xdr:col>21</xdr:col>
      <xdr:colOff>289367</xdr:colOff>
      <xdr:row>27</xdr:row>
      <xdr:rowOff>77163</xdr:rowOff>
    </xdr:from>
    <xdr:to>
      <xdr:col>21</xdr:col>
      <xdr:colOff>1076072</xdr:colOff>
      <xdr:row>30</xdr:row>
      <xdr:rowOff>57871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6E09F97C-62E8-41E0-BFD9-4407352CD196}"/>
            </a:ext>
          </a:extLst>
        </xdr:cNvPr>
        <xdr:cNvGrpSpPr/>
      </xdr:nvGrpSpPr>
      <xdr:grpSpPr>
        <a:xfrm>
          <a:off x="6521438" y="6000806"/>
          <a:ext cx="786705" cy="524994"/>
          <a:chOff x="4827012" y="6265249"/>
          <a:chExt cx="2432480" cy="565428"/>
        </a:xfrm>
      </xdr:grpSpPr>
      <xdr:sp macro="[0]!RR_5" textlink="">
        <xdr:nvSpPr>
          <xdr:cNvPr id="51" name="Rectangle 50">
            <a:extLst>
              <a:ext uri="{FF2B5EF4-FFF2-40B4-BE49-F238E27FC236}">
                <a16:creationId xmlns:a16="http://schemas.microsoft.com/office/drawing/2014/main" id="{B89061D9-68B8-786D-4219-1B9A92CCA380}"/>
              </a:ext>
            </a:extLst>
          </xdr:cNvPr>
          <xdr:cNvSpPr/>
        </xdr:nvSpPr>
        <xdr:spPr>
          <a:xfrm>
            <a:off x="4827012" y="6265249"/>
            <a:ext cx="2432480" cy="565428"/>
          </a:xfrm>
          <a:prstGeom prst="rect">
            <a:avLst/>
          </a:prstGeom>
          <a:solidFill>
            <a:schemeClr val="accent2">
              <a:lumMod val="75000"/>
            </a:schemeClr>
          </a:solidFill>
          <a:ln w="3175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R_5" textlink="">
        <xdr:nvSpPr>
          <xdr:cNvPr id="52" name="TextBox 51">
            <a:extLst>
              <a:ext uri="{FF2B5EF4-FFF2-40B4-BE49-F238E27FC236}">
                <a16:creationId xmlns:a16="http://schemas.microsoft.com/office/drawing/2014/main" id="{78DCA81E-6ED9-0AE1-D441-177E49AF3453}"/>
              </a:ext>
            </a:extLst>
          </xdr:cNvPr>
          <xdr:cNvSpPr txBox="1"/>
        </xdr:nvSpPr>
        <xdr:spPr>
          <a:xfrm>
            <a:off x="5043317" y="6371504"/>
            <a:ext cx="2018844" cy="3415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rgbClr val="FFFFFF"/>
                </a:solidFill>
              </a:rPr>
              <a:t>T5</a:t>
            </a:r>
          </a:p>
        </xdr:txBody>
      </xdr:sp>
    </xdr:grpSp>
    <xdr:clientData/>
  </xdr:twoCellAnchor>
  <xdr:twoCellAnchor>
    <xdr:from>
      <xdr:col>17</xdr:col>
      <xdr:colOff>366532</xdr:colOff>
      <xdr:row>5</xdr:row>
      <xdr:rowOff>96456</xdr:rowOff>
    </xdr:from>
    <xdr:to>
      <xdr:col>22</xdr:col>
      <xdr:colOff>299013</xdr:colOff>
      <xdr:row>30</xdr:row>
      <xdr:rowOff>181054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D96CC5E2-1742-0849-5549-B756E8BBCD2A}"/>
            </a:ext>
          </a:extLst>
        </xdr:cNvPr>
        <xdr:cNvSpPr/>
      </xdr:nvSpPr>
      <xdr:spPr>
        <a:xfrm>
          <a:off x="972668" y="1033212"/>
          <a:ext cx="6678700" cy="5673648"/>
        </a:xfrm>
        <a:prstGeom prst="roundRect">
          <a:avLst>
            <a:gd name="adj" fmla="val 11696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296173</xdr:colOff>
      <xdr:row>4</xdr:row>
      <xdr:rowOff>139302</xdr:rowOff>
    </xdr:from>
    <xdr:ext cx="706634" cy="681235"/>
    <xdr:pic>
      <xdr:nvPicPr>
        <xdr:cNvPr id="2" name="Picture 1">
          <a:extLst>
            <a:ext uri="{FF2B5EF4-FFF2-40B4-BE49-F238E27FC236}">
              <a16:creationId xmlns:a16="http://schemas.microsoft.com/office/drawing/2014/main" id="{AF3EB415-AD67-42AD-BBD3-CA43A807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7096" y="710802"/>
          <a:ext cx="706634" cy="681235"/>
        </a:xfrm>
        <a:prstGeom prst="round2DiagRect">
          <a:avLst>
            <a:gd name="adj1" fmla="val 16667"/>
            <a:gd name="adj2" fmla="val 0"/>
          </a:avLst>
        </a:prstGeom>
        <a:ln w="12700" cap="sq">
          <a:solidFill>
            <a:schemeClr val="bg2">
              <a:lumMod val="10000"/>
            </a:schemeClr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oneCellAnchor>
  <xdr:twoCellAnchor>
    <xdr:from>
      <xdr:col>20</xdr:col>
      <xdr:colOff>1260231</xdr:colOff>
      <xdr:row>3</xdr:row>
      <xdr:rowOff>11905</xdr:rowOff>
    </xdr:from>
    <xdr:to>
      <xdr:col>26</xdr:col>
      <xdr:colOff>190500</xdr:colOff>
      <xdr:row>17</xdr:row>
      <xdr:rowOff>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46D35B2-3FB3-488A-AC57-1CADD1609AD9}"/>
            </a:ext>
          </a:extLst>
        </xdr:cNvPr>
        <xdr:cNvSpPr/>
      </xdr:nvSpPr>
      <xdr:spPr>
        <a:xfrm>
          <a:off x="14184923" y="583405"/>
          <a:ext cx="8323385" cy="4325633"/>
        </a:xfrm>
        <a:prstGeom prst="roundRect">
          <a:avLst>
            <a:gd name="adj" fmla="val 5150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556845</xdr:colOff>
      <xdr:row>5</xdr:row>
      <xdr:rowOff>102578</xdr:rowOff>
    </xdr:from>
    <xdr:to>
      <xdr:col>34</xdr:col>
      <xdr:colOff>125901</xdr:colOff>
      <xdr:row>10</xdr:row>
      <xdr:rowOff>117232</xdr:rowOff>
    </xdr:to>
    <xdr:sp macro="[0]!PRINTBILL" textlink="">
      <xdr:nvSpPr>
        <xdr:cNvPr id="3" name="Rectangle 2">
          <a:extLst>
            <a:ext uri="{FF2B5EF4-FFF2-40B4-BE49-F238E27FC236}">
              <a16:creationId xmlns:a16="http://schemas.microsoft.com/office/drawing/2014/main" id="{0A5CA343-E944-4853-A273-B36586378E79}"/>
            </a:ext>
          </a:extLst>
        </xdr:cNvPr>
        <xdr:cNvSpPr/>
      </xdr:nvSpPr>
      <xdr:spPr>
        <a:xfrm>
          <a:off x="24457268" y="1040424"/>
          <a:ext cx="2646364" cy="1011116"/>
        </a:xfrm>
        <a:prstGeom prst="rect">
          <a:avLst/>
        </a:prstGeom>
        <a:solidFill>
          <a:schemeClr val="accent2">
            <a:lumMod val="75000"/>
          </a:schemeClr>
        </a:solidFill>
        <a:ln w="3175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+mn-lt"/>
            </a:rPr>
            <a:t>Print Bill</a:t>
          </a:r>
        </a:p>
      </xdr:txBody>
    </xdr:sp>
    <xdr:clientData/>
  </xdr:twoCellAnchor>
  <xdr:twoCellAnchor>
    <xdr:from>
      <xdr:col>35</xdr:col>
      <xdr:colOff>161193</xdr:colOff>
      <xdr:row>5</xdr:row>
      <xdr:rowOff>29309</xdr:rowOff>
    </xdr:from>
    <xdr:to>
      <xdr:col>39</xdr:col>
      <xdr:colOff>234462</xdr:colOff>
      <xdr:row>10</xdr:row>
      <xdr:rowOff>58616</xdr:rowOff>
    </xdr:to>
    <xdr:sp macro="[0]!CLEAR_BILL" textlink="">
      <xdr:nvSpPr>
        <xdr:cNvPr id="5" name="Rectangle 4">
          <a:extLst>
            <a:ext uri="{FF2B5EF4-FFF2-40B4-BE49-F238E27FC236}">
              <a16:creationId xmlns:a16="http://schemas.microsoft.com/office/drawing/2014/main" id="{828D82CC-9818-4613-9EDF-BC3F9C879685}"/>
            </a:ext>
          </a:extLst>
        </xdr:cNvPr>
        <xdr:cNvSpPr/>
      </xdr:nvSpPr>
      <xdr:spPr>
        <a:xfrm>
          <a:off x="27754385" y="967155"/>
          <a:ext cx="2535115" cy="1025769"/>
        </a:xfrm>
        <a:prstGeom prst="rect">
          <a:avLst/>
        </a:prstGeom>
        <a:solidFill>
          <a:schemeClr val="accent2">
            <a:lumMod val="75000"/>
          </a:schemeClr>
        </a:solidFill>
        <a:ln w="3175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+mn-lt"/>
            </a:rPr>
            <a:t>Clear</a:t>
          </a:r>
        </a:p>
      </xdr:txBody>
    </xdr:sp>
    <xdr:clientData/>
  </xdr:twoCellAnchor>
  <xdr:twoCellAnchor>
    <xdr:from>
      <xdr:col>28</xdr:col>
      <xdr:colOff>439613</xdr:colOff>
      <xdr:row>3</xdr:row>
      <xdr:rowOff>14655</xdr:rowOff>
    </xdr:from>
    <xdr:to>
      <xdr:col>40</xdr:col>
      <xdr:colOff>131883</xdr:colOff>
      <xdr:row>11</xdr:row>
      <xdr:rowOff>190500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1B8F4FE-ECEE-DDF3-EB59-2CCE86346468}"/>
            </a:ext>
          </a:extLst>
        </xdr:cNvPr>
        <xdr:cNvSpPr/>
      </xdr:nvSpPr>
      <xdr:spPr>
        <a:xfrm>
          <a:off x="23724575" y="586155"/>
          <a:ext cx="7077808" cy="1802422"/>
        </a:xfrm>
        <a:prstGeom prst="roundRect">
          <a:avLst/>
        </a:prstGeom>
        <a:noFill/>
        <a:ln>
          <a:solidFill>
            <a:schemeClr val="bg2">
              <a:lumMod val="2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B581A6-E7FE-4857-854E-D7DD306D5183}" name="ALL_DATA" displayName="ALL_DATA" ref="A1:C101" totalsRowShown="0" headerRowDxfId="2" headerRowBorderDxfId="1" tableBorderDxfId="0">
  <autoFilter ref="A1:C101" xr:uid="{22B581A6-E7FE-4857-854E-D7DD306D5183}"/>
  <sortState xmlns:xlrd2="http://schemas.microsoft.com/office/spreadsheetml/2017/richdata2" ref="A7:C93">
    <sortCondition ref="B1:B101"/>
  </sortState>
  <tableColumns count="3">
    <tableColumn id="1" xr3:uid="{8FE8EE27-42BF-406A-81FA-05C92F56BC7B}" name="Category"/>
    <tableColumn id="2" xr3:uid="{6818EA9C-D945-4E13-B920-78EA45316F21}" name="Dish Name"/>
    <tableColumn id="3" xr3:uid="{8A1379A8-85E0-459E-A51C-BA8C942DFAE2}" name="Pric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workbookViewId="0">
      <selection sqref="A1:C1"/>
    </sheetView>
  </sheetViews>
  <sheetFormatPr defaultRowHeight="14.4" x14ac:dyDescent="0.3"/>
  <cols>
    <col min="1" max="1" width="36.33203125" customWidth="1"/>
    <col min="2" max="2" width="34.44140625" customWidth="1"/>
    <col min="3" max="3" width="35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3</v>
      </c>
      <c r="B2" t="s">
        <v>26</v>
      </c>
      <c r="C2">
        <v>92</v>
      </c>
    </row>
    <row r="3" spans="1:3" x14ac:dyDescent="0.3">
      <c r="A3" t="s">
        <v>3</v>
      </c>
      <c r="B3" t="s">
        <v>26</v>
      </c>
      <c r="C3">
        <v>93</v>
      </c>
    </row>
    <row r="4" spans="1:3" x14ac:dyDescent="0.3">
      <c r="A4" t="s">
        <v>4</v>
      </c>
      <c r="B4" t="s">
        <v>21</v>
      </c>
      <c r="C4">
        <v>99</v>
      </c>
    </row>
    <row r="5" spans="1:3" x14ac:dyDescent="0.3">
      <c r="A5" t="s">
        <v>5</v>
      </c>
      <c r="B5" t="s">
        <v>38</v>
      </c>
      <c r="C5">
        <v>277</v>
      </c>
    </row>
    <row r="6" spans="1:3" x14ac:dyDescent="0.3">
      <c r="A6" t="s">
        <v>4</v>
      </c>
      <c r="B6" t="s">
        <v>21</v>
      </c>
      <c r="C6">
        <v>75</v>
      </c>
    </row>
    <row r="7" spans="1:3" x14ac:dyDescent="0.3">
      <c r="A7" t="s">
        <v>6</v>
      </c>
      <c r="B7" t="s">
        <v>40</v>
      </c>
      <c r="C7">
        <v>103</v>
      </c>
    </row>
    <row r="8" spans="1:3" x14ac:dyDescent="0.3">
      <c r="A8" t="s">
        <v>4</v>
      </c>
      <c r="B8" t="s">
        <v>21</v>
      </c>
      <c r="C8">
        <v>78</v>
      </c>
    </row>
    <row r="9" spans="1:3" x14ac:dyDescent="0.3">
      <c r="A9" t="s">
        <v>3</v>
      </c>
      <c r="B9" t="s">
        <v>16</v>
      </c>
      <c r="C9">
        <v>50</v>
      </c>
    </row>
    <row r="10" spans="1:3" x14ac:dyDescent="0.3">
      <c r="A10" t="s">
        <v>4</v>
      </c>
      <c r="B10" t="s">
        <v>21</v>
      </c>
      <c r="C10">
        <v>66</v>
      </c>
    </row>
    <row r="11" spans="1:3" x14ac:dyDescent="0.3">
      <c r="A11" t="s">
        <v>3</v>
      </c>
      <c r="B11" t="s">
        <v>16</v>
      </c>
      <c r="C11">
        <v>41</v>
      </c>
    </row>
    <row r="12" spans="1:3" x14ac:dyDescent="0.3">
      <c r="A12" t="s">
        <v>7</v>
      </c>
      <c r="B12" t="s">
        <v>25</v>
      </c>
      <c r="C12">
        <v>97</v>
      </c>
    </row>
    <row r="13" spans="1:3" x14ac:dyDescent="0.3">
      <c r="A13" t="s">
        <v>8</v>
      </c>
      <c r="B13" t="s">
        <v>23</v>
      </c>
      <c r="C13">
        <v>153</v>
      </c>
    </row>
    <row r="14" spans="1:3" x14ac:dyDescent="0.3">
      <c r="A14" t="s">
        <v>4</v>
      </c>
      <c r="B14" t="s">
        <v>21</v>
      </c>
      <c r="C14">
        <v>82</v>
      </c>
    </row>
    <row r="15" spans="1:3" x14ac:dyDescent="0.3">
      <c r="A15" t="s">
        <v>7</v>
      </c>
      <c r="B15" t="s">
        <v>25</v>
      </c>
      <c r="C15">
        <v>94</v>
      </c>
    </row>
    <row r="16" spans="1:3" x14ac:dyDescent="0.3">
      <c r="A16" t="s">
        <v>8</v>
      </c>
      <c r="B16" t="s">
        <v>23</v>
      </c>
      <c r="C16">
        <v>143</v>
      </c>
    </row>
    <row r="17" spans="1:3" x14ac:dyDescent="0.3">
      <c r="A17" t="s">
        <v>6</v>
      </c>
      <c r="B17" t="s">
        <v>29</v>
      </c>
      <c r="C17">
        <v>36</v>
      </c>
    </row>
    <row r="18" spans="1:3" x14ac:dyDescent="0.3">
      <c r="A18" t="s">
        <v>8</v>
      </c>
      <c r="B18" t="s">
        <v>23</v>
      </c>
      <c r="C18">
        <v>125</v>
      </c>
    </row>
    <row r="19" spans="1:3" x14ac:dyDescent="0.3">
      <c r="A19" t="s">
        <v>3</v>
      </c>
      <c r="B19" t="s">
        <v>16</v>
      </c>
      <c r="C19">
        <v>46</v>
      </c>
    </row>
    <row r="20" spans="1:3" x14ac:dyDescent="0.3">
      <c r="A20" t="s">
        <v>5</v>
      </c>
      <c r="B20" t="s">
        <v>38</v>
      </c>
      <c r="C20">
        <v>244</v>
      </c>
    </row>
    <row r="21" spans="1:3" x14ac:dyDescent="0.3">
      <c r="A21" t="s">
        <v>4</v>
      </c>
      <c r="B21" t="s">
        <v>24</v>
      </c>
      <c r="C21">
        <v>143</v>
      </c>
    </row>
    <row r="22" spans="1:3" x14ac:dyDescent="0.3">
      <c r="A22" t="s">
        <v>6</v>
      </c>
      <c r="B22" t="s">
        <v>29</v>
      </c>
      <c r="C22">
        <v>32</v>
      </c>
    </row>
    <row r="23" spans="1:3" x14ac:dyDescent="0.3">
      <c r="A23" t="s">
        <v>7</v>
      </c>
      <c r="B23" t="s">
        <v>27</v>
      </c>
      <c r="C23">
        <v>54</v>
      </c>
    </row>
    <row r="24" spans="1:3" x14ac:dyDescent="0.3">
      <c r="A24" t="s">
        <v>3</v>
      </c>
      <c r="B24" t="s">
        <v>11</v>
      </c>
      <c r="C24">
        <v>66</v>
      </c>
    </row>
    <row r="25" spans="1:3" x14ac:dyDescent="0.3">
      <c r="A25" t="s">
        <v>4</v>
      </c>
      <c r="B25" t="s">
        <v>24</v>
      </c>
      <c r="C25">
        <v>101</v>
      </c>
    </row>
    <row r="26" spans="1:3" x14ac:dyDescent="0.3">
      <c r="A26" t="s">
        <v>7</v>
      </c>
      <c r="B26" t="s">
        <v>27</v>
      </c>
      <c r="C26">
        <v>48</v>
      </c>
    </row>
    <row r="27" spans="1:3" x14ac:dyDescent="0.3">
      <c r="A27" t="s">
        <v>9</v>
      </c>
      <c r="B27" t="s">
        <v>36</v>
      </c>
      <c r="C27">
        <v>32</v>
      </c>
    </row>
    <row r="28" spans="1:3" x14ac:dyDescent="0.3">
      <c r="A28" t="s">
        <v>3</v>
      </c>
      <c r="B28" t="s">
        <v>11</v>
      </c>
      <c r="C28">
        <v>64</v>
      </c>
    </row>
    <row r="29" spans="1:3" x14ac:dyDescent="0.3">
      <c r="A29" t="s">
        <v>6</v>
      </c>
      <c r="B29" t="s">
        <v>29</v>
      </c>
      <c r="C29">
        <v>42</v>
      </c>
    </row>
    <row r="30" spans="1:3" x14ac:dyDescent="0.3">
      <c r="A30" t="s">
        <v>5</v>
      </c>
      <c r="B30" t="s">
        <v>38</v>
      </c>
      <c r="C30">
        <v>242</v>
      </c>
    </row>
    <row r="31" spans="1:3" x14ac:dyDescent="0.3">
      <c r="A31" t="s">
        <v>8</v>
      </c>
      <c r="B31" t="s">
        <v>35</v>
      </c>
      <c r="C31">
        <v>127</v>
      </c>
    </row>
    <row r="32" spans="1:3" x14ac:dyDescent="0.3">
      <c r="A32" t="s">
        <v>3</v>
      </c>
      <c r="B32" t="s">
        <v>11</v>
      </c>
      <c r="C32">
        <v>75</v>
      </c>
    </row>
    <row r="33" spans="1:3" x14ac:dyDescent="0.3">
      <c r="A33" t="s">
        <v>5</v>
      </c>
      <c r="B33" t="s">
        <v>38</v>
      </c>
      <c r="C33">
        <v>261</v>
      </c>
    </row>
    <row r="34" spans="1:3" x14ac:dyDescent="0.3">
      <c r="A34" t="s">
        <v>7</v>
      </c>
      <c r="B34" t="s">
        <v>27</v>
      </c>
      <c r="C34">
        <v>58</v>
      </c>
    </row>
    <row r="35" spans="1:3" x14ac:dyDescent="0.3">
      <c r="A35" t="s">
        <v>4</v>
      </c>
      <c r="B35" t="s">
        <v>24</v>
      </c>
      <c r="C35">
        <v>149</v>
      </c>
    </row>
    <row r="36" spans="1:3" x14ac:dyDescent="0.3">
      <c r="A36" t="s">
        <v>4</v>
      </c>
      <c r="B36" t="s">
        <v>14</v>
      </c>
      <c r="C36">
        <v>79</v>
      </c>
    </row>
    <row r="37" spans="1:3" x14ac:dyDescent="0.3">
      <c r="A37" t="s">
        <v>9</v>
      </c>
      <c r="B37" t="s">
        <v>36</v>
      </c>
      <c r="C37">
        <v>40</v>
      </c>
    </row>
    <row r="38" spans="1:3" x14ac:dyDescent="0.3">
      <c r="A38" t="s">
        <v>9</v>
      </c>
      <c r="B38" t="s">
        <v>32</v>
      </c>
      <c r="C38">
        <v>27</v>
      </c>
    </row>
    <row r="39" spans="1:3" x14ac:dyDescent="0.3">
      <c r="A39" t="s">
        <v>4</v>
      </c>
      <c r="B39" t="s">
        <v>14</v>
      </c>
      <c r="C39">
        <v>56</v>
      </c>
    </row>
    <row r="40" spans="1:3" x14ac:dyDescent="0.3">
      <c r="A40" t="s">
        <v>6</v>
      </c>
      <c r="B40" t="s">
        <v>29</v>
      </c>
      <c r="C40">
        <v>45</v>
      </c>
    </row>
    <row r="41" spans="1:3" x14ac:dyDescent="0.3">
      <c r="A41" t="s">
        <v>7</v>
      </c>
      <c r="B41" t="s">
        <v>19</v>
      </c>
      <c r="C41">
        <v>72</v>
      </c>
    </row>
    <row r="42" spans="1:3" x14ac:dyDescent="0.3">
      <c r="A42" t="s">
        <v>5</v>
      </c>
      <c r="B42" t="s">
        <v>30</v>
      </c>
      <c r="C42">
        <v>135</v>
      </c>
    </row>
    <row r="43" spans="1:3" x14ac:dyDescent="0.3">
      <c r="A43" t="s">
        <v>7</v>
      </c>
      <c r="B43" t="s">
        <v>19</v>
      </c>
      <c r="C43">
        <v>80</v>
      </c>
    </row>
    <row r="44" spans="1:3" x14ac:dyDescent="0.3">
      <c r="A44" t="s">
        <v>3</v>
      </c>
      <c r="B44" t="s">
        <v>11</v>
      </c>
      <c r="C44">
        <v>69</v>
      </c>
    </row>
    <row r="45" spans="1:3" x14ac:dyDescent="0.3">
      <c r="A45" t="s">
        <v>3</v>
      </c>
      <c r="B45" t="s">
        <v>18</v>
      </c>
      <c r="C45">
        <v>69</v>
      </c>
    </row>
    <row r="46" spans="1:3" x14ac:dyDescent="0.3">
      <c r="A46" t="s">
        <v>3</v>
      </c>
      <c r="B46" t="s">
        <v>18</v>
      </c>
      <c r="C46">
        <v>70</v>
      </c>
    </row>
    <row r="47" spans="1:3" x14ac:dyDescent="0.3">
      <c r="A47" t="s">
        <v>4</v>
      </c>
      <c r="B47" t="s">
        <v>14</v>
      </c>
      <c r="C47">
        <v>73</v>
      </c>
    </row>
    <row r="48" spans="1:3" x14ac:dyDescent="0.3">
      <c r="A48" t="s">
        <v>6</v>
      </c>
      <c r="B48" t="s">
        <v>29</v>
      </c>
      <c r="C48">
        <v>46</v>
      </c>
    </row>
    <row r="49" spans="1:3" x14ac:dyDescent="0.3">
      <c r="A49" t="s">
        <v>3</v>
      </c>
      <c r="B49" t="s">
        <v>18</v>
      </c>
      <c r="C49">
        <v>62</v>
      </c>
    </row>
    <row r="50" spans="1:3" x14ac:dyDescent="0.3">
      <c r="A50" t="s">
        <v>6</v>
      </c>
      <c r="B50" t="s">
        <v>15</v>
      </c>
      <c r="C50">
        <v>70</v>
      </c>
    </row>
    <row r="51" spans="1:3" x14ac:dyDescent="0.3">
      <c r="A51" t="s">
        <v>6</v>
      </c>
      <c r="B51" t="s">
        <v>15</v>
      </c>
      <c r="C51">
        <v>76</v>
      </c>
    </row>
    <row r="52" spans="1:3" x14ac:dyDescent="0.3">
      <c r="A52" t="s">
        <v>6</v>
      </c>
      <c r="B52" t="s">
        <v>15</v>
      </c>
      <c r="C52">
        <v>46</v>
      </c>
    </row>
    <row r="53" spans="1:3" x14ac:dyDescent="0.3">
      <c r="A53" t="s">
        <v>3</v>
      </c>
      <c r="B53" t="s">
        <v>18</v>
      </c>
      <c r="C53">
        <v>76</v>
      </c>
    </row>
    <row r="54" spans="1:3" x14ac:dyDescent="0.3">
      <c r="A54" t="s">
        <v>8</v>
      </c>
      <c r="B54" t="s">
        <v>35</v>
      </c>
      <c r="C54">
        <v>144</v>
      </c>
    </row>
    <row r="55" spans="1:3" x14ac:dyDescent="0.3">
      <c r="A55" t="s">
        <v>8</v>
      </c>
      <c r="B55" t="s">
        <v>22</v>
      </c>
      <c r="C55">
        <v>136</v>
      </c>
    </row>
    <row r="56" spans="1:3" x14ac:dyDescent="0.3">
      <c r="A56" t="s">
        <v>9</v>
      </c>
      <c r="B56" t="s">
        <v>28</v>
      </c>
      <c r="C56">
        <v>26</v>
      </c>
    </row>
    <row r="57" spans="1:3" x14ac:dyDescent="0.3">
      <c r="A57" t="s">
        <v>6</v>
      </c>
      <c r="B57" t="s">
        <v>15</v>
      </c>
      <c r="C57">
        <v>71</v>
      </c>
    </row>
    <row r="58" spans="1:3" x14ac:dyDescent="0.3">
      <c r="A58" t="s">
        <v>7</v>
      </c>
      <c r="B58" t="s">
        <v>19</v>
      </c>
      <c r="C58">
        <v>79</v>
      </c>
    </row>
    <row r="59" spans="1:3" x14ac:dyDescent="0.3">
      <c r="A59" t="s">
        <v>3</v>
      </c>
      <c r="B59" t="s">
        <v>18</v>
      </c>
      <c r="C59">
        <v>75</v>
      </c>
    </row>
    <row r="60" spans="1:3" x14ac:dyDescent="0.3">
      <c r="A60" t="s">
        <v>8</v>
      </c>
      <c r="B60" t="s">
        <v>22</v>
      </c>
      <c r="C60">
        <v>171</v>
      </c>
    </row>
    <row r="61" spans="1:3" x14ac:dyDescent="0.3">
      <c r="A61" t="s">
        <v>9</v>
      </c>
      <c r="B61" t="s">
        <v>28</v>
      </c>
      <c r="C61">
        <v>20</v>
      </c>
    </row>
    <row r="62" spans="1:3" x14ac:dyDescent="0.3">
      <c r="A62" t="s">
        <v>6</v>
      </c>
      <c r="B62" t="s">
        <v>15</v>
      </c>
      <c r="C62">
        <v>74</v>
      </c>
    </row>
    <row r="63" spans="1:3" x14ac:dyDescent="0.3">
      <c r="A63" t="s">
        <v>5</v>
      </c>
      <c r="B63" t="s">
        <v>13</v>
      </c>
      <c r="C63">
        <v>189</v>
      </c>
    </row>
    <row r="64" spans="1:3" x14ac:dyDescent="0.3">
      <c r="A64" t="s">
        <v>4</v>
      </c>
      <c r="B64" t="s">
        <v>14</v>
      </c>
      <c r="C64">
        <v>76</v>
      </c>
    </row>
    <row r="65" spans="1:9" x14ac:dyDescent="0.3">
      <c r="A65" t="s">
        <v>5</v>
      </c>
      <c r="B65" t="s">
        <v>13</v>
      </c>
      <c r="C65">
        <v>151</v>
      </c>
    </row>
    <row r="66" spans="1:9" x14ac:dyDescent="0.3">
      <c r="A66" t="s">
        <v>6</v>
      </c>
      <c r="B66" t="s">
        <v>15</v>
      </c>
      <c r="C66">
        <v>63</v>
      </c>
    </row>
    <row r="67" spans="1:9" x14ac:dyDescent="0.3">
      <c r="A67" t="s">
        <v>5</v>
      </c>
      <c r="B67" t="s">
        <v>13</v>
      </c>
      <c r="C67">
        <v>168</v>
      </c>
    </row>
    <row r="68" spans="1:9" x14ac:dyDescent="0.3">
      <c r="A68" t="s">
        <v>7</v>
      </c>
      <c r="B68" t="s">
        <v>33</v>
      </c>
      <c r="C68">
        <v>116</v>
      </c>
    </row>
    <row r="69" spans="1:9" x14ac:dyDescent="0.3">
      <c r="A69" t="s">
        <v>6</v>
      </c>
      <c r="B69" t="s">
        <v>15</v>
      </c>
      <c r="C69">
        <v>69</v>
      </c>
    </row>
    <row r="70" spans="1:9" x14ac:dyDescent="0.3">
      <c r="A70" t="s">
        <v>3</v>
      </c>
      <c r="B70" t="s">
        <v>10</v>
      </c>
      <c r="C70">
        <v>76</v>
      </c>
    </row>
    <row r="71" spans="1:9" x14ac:dyDescent="0.3">
      <c r="A71" t="s">
        <v>8</v>
      </c>
      <c r="B71" t="s">
        <v>22</v>
      </c>
      <c r="C71">
        <v>166</v>
      </c>
    </row>
    <row r="72" spans="1:9" x14ac:dyDescent="0.3">
      <c r="A72" t="s">
        <v>6</v>
      </c>
      <c r="B72" t="s">
        <v>15</v>
      </c>
      <c r="C72">
        <v>61</v>
      </c>
    </row>
    <row r="73" spans="1:9" x14ac:dyDescent="0.3">
      <c r="A73" t="s">
        <v>8</v>
      </c>
      <c r="B73" t="s">
        <v>31</v>
      </c>
      <c r="C73">
        <v>147</v>
      </c>
    </row>
    <row r="74" spans="1:9" x14ac:dyDescent="0.3">
      <c r="A74" t="s">
        <v>6</v>
      </c>
      <c r="B74" t="s">
        <v>34</v>
      </c>
      <c r="C74">
        <v>57</v>
      </c>
    </row>
    <row r="75" spans="1:9" x14ac:dyDescent="0.3">
      <c r="A75" t="s">
        <v>4</v>
      </c>
      <c r="B75" t="s">
        <v>14</v>
      </c>
      <c r="C75">
        <v>56</v>
      </c>
    </row>
    <row r="76" spans="1:9" x14ac:dyDescent="0.3">
      <c r="A76" t="s">
        <v>8</v>
      </c>
      <c r="B76" t="s">
        <v>31</v>
      </c>
      <c r="C76">
        <v>132</v>
      </c>
    </row>
    <row r="77" spans="1:9" x14ac:dyDescent="0.3">
      <c r="A77" t="s">
        <v>6</v>
      </c>
      <c r="B77" t="s">
        <v>34</v>
      </c>
      <c r="C77">
        <v>52</v>
      </c>
    </row>
    <row r="78" spans="1:9" x14ac:dyDescent="0.3">
      <c r="A78" t="s">
        <v>4</v>
      </c>
      <c r="B78" t="s">
        <v>14</v>
      </c>
      <c r="C78">
        <v>59</v>
      </c>
    </row>
    <row r="79" spans="1:9" x14ac:dyDescent="0.3">
      <c r="A79" t="s">
        <v>6</v>
      </c>
      <c r="B79" t="s">
        <v>37</v>
      </c>
      <c r="C79">
        <v>38</v>
      </c>
      <c r="I79">
        <v>1</v>
      </c>
    </row>
    <row r="80" spans="1:9" x14ac:dyDescent="0.3">
      <c r="A80" t="s">
        <v>4</v>
      </c>
      <c r="B80" t="s">
        <v>17</v>
      </c>
      <c r="C80">
        <v>82</v>
      </c>
      <c r="I80">
        <v>2</v>
      </c>
    </row>
    <row r="81" spans="1:9" x14ac:dyDescent="0.3">
      <c r="A81" t="s">
        <v>4</v>
      </c>
      <c r="B81" t="s">
        <v>17</v>
      </c>
      <c r="C81">
        <v>99</v>
      </c>
      <c r="I81">
        <v>3</v>
      </c>
    </row>
    <row r="82" spans="1:9" x14ac:dyDescent="0.3">
      <c r="A82" t="s">
        <v>5</v>
      </c>
      <c r="B82" t="s">
        <v>13</v>
      </c>
      <c r="C82">
        <v>180</v>
      </c>
      <c r="I82">
        <v>4</v>
      </c>
    </row>
    <row r="83" spans="1:9" x14ac:dyDescent="0.3">
      <c r="A83" t="s">
        <v>4</v>
      </c>
      <c r="B83" t="s">
        <v>17</v>
      </c>
      <c r="C83">
        <v>86</v>
      </c>
      <c r="I83">
        <v>5</v>
      </c>
    </row>
    <row r="84" spans="1:9" x14ac:dyDescent="0.3">
      <c r="A84" t="s">
        <v>9</v>
      </c>
      <c r="B84" t="s">
        <v>28</v>
      </c>
      <c r="C84">
        <v>28</v>
      </c>
      <c r="I84">
        <v>6</v>
      </c>
    </row>
    <row r="85" spans="1:9" x14ac:dyDescent="0.3">
      <c r="A85" t="s">
        <v>9</v>
      </c>
      <c r="B85" t="s">
        <v>28</v>
      </c>
      <c r="C85">
        <v>24</v>
      </c>
      <c r="I85">
        <v>7</v>
      </c>
    </row>
    <row r="86" spans="1:9" x14ac:dyDescent="0.3">
      <c r="A86" t="s">
        <v>4</v>
      </c>
      <c r="B86" t="s">
        <v>12</v>
      </c>
      <c r="C86">
        <v>109</v>
      </c>
    </row>
    <row r="87" spans="1:9" x14ac:dyDescent="0.3">
      <c r="A87" t="s">
        <v>9</v>
      </c>
      <c r="B87" t="s">
        <v>41</v>
      </c>
      <c r="C87">
        <v>23</v>
      </c>
    </row>
    <row r="88" spans="1:9" x14ac:dyDescent="0.3">
      <c r="A88" t="s">
        <v>5</v>
      </c>
      <c r="B88" t="s">
        <v>39</v>
      </c>
      <c r="C88">
        <v>263</v>
      </c>
    </row>
    <row r="89" spans="1:9" x14ac:dyDescent="0.3">
      <c r="A89" t="s">
        <v>5</v>
      </c>
      <c r="B89" t="s">
        <v>39</v>
      </c>
      <c r="C89">
        <v>204</v>
      </c>
    </row>
    <row r="90" spans="1:9" x14ac:dyDescent="0.3">
      <c r="A90" t="s">
        <v>8</v>
      </c>
      <c r="B90" t="s">
        <v>20</v>
      </c>
      <c r="C90">
        <v>135</v>
      </c>
    </row>
    <row r="91" spans="1:9" x14ac:dyDescent="0.3">
      <c r="A91" t="s">
        <v>4</v>
      </c>
      <c r="B91" t="s">
        <v>12</v>
      </c>
      <c r="C91">
        <v>90</v>
      </c>
    </row>
    <row r="92" spans="1:9" x14ac:dyDescent="0.3">
      <c r="A92" t="s">
        <v>5</v>
      </c>
      <c r="B92" t="s">
        <v>39</v>
      </c>
      <c r="C92">
        <v>221</v>
      </c>
    </row>
    <row r="93" spans="1:9" x14ac:dyDescent="0.3">
      <c r="A93" t="s">
        <v>6</v>
      </c>
      <c r="B93" t="s">
        <v>37</v>
      </c>
      <c r="C93">
        <v>44</v>
      </c>
    </row>
    <row r="94" spans="1:9" x14ac:dyDescent="0.3">
      <c r="A94" t="s">
        <v>8</v>
      </c>
      <c r="B94" t="s">
        <v>20</v>
      </c>
      <c r="C94">
        <v>150</v>
      </c>
    </row>
    <row r="95" spans="1:9" x14ac:dyDescent="0.3">
      <c r="A95" t="s">
        <v>8</v>
      </c>
      <c r="B95" t="s">
        <v>20</v>
      </c>
      <c r="C95">
        <v>122</v>
      </c>
    </row>
    <row r="96" spans="1:9" x14ac:dyDescent="0.3">
      <c r="A96" t="s">
        <v>9</v>
      </c>
      <c r="B96" t="s">
        <v>41</v>
      </c>
      <c r="C96">
        <v>24</v>
      </c>
    </row>
    <row r="97" spans="1:3" x14ac:dyDescent="0.3">
      <c r="A97" t="s">
        <v>3</v>
      </c>
      <c r="B97" t="s">
        <v>10</v>
      </c>
      <c r="C97">
        <v>76</v>
      </c>
    </row>
    <row r="98" spans="1:3" x14ac:dyDescent="0.3">
      <c r="A98" t="s">
        <v>4</v>
      </c>
      <c r="B98" t="s">
        <v>12</v>
      </c>
      <c r="C98">
        <v>83</v>
      </c>
    </row>
    <row r="99" spans="1:3" x14ac:dyDescent="0.3">
      <c r="A99" t="s">
        <v>3</v>
      </c>
      <c r="B99" t="s">
        <v>10</v>
      </c>
      <c r="C99">
        <v>97</v>
      </c>
    </row>
    <row r="100" spans="1:3" x14ac:dyDescent="0.3">
      <c r="A100" t="s">
        <v>3</v>
      </c>
      <c r="B100" t="s">
        <v>10</v>
      </c>
      <c r="C100">
        <v>93</v>
      </c>
    </row>
    <row r="101" spans="1:3" x14ac:dyDescent="0.3">
      <c r="A101" t="s">
        <v>7</v>
      </c>
      <c r="B101" t="s">
        <v>33</v>
      </c>
      <c r="C101">
        <v>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9CD8A-5D3D-4072-A464-0DA316CA61B6}">
  <sheetPr codeName="Sheet2"/>
  <dimension ref="A4:AC285"/>
  <sheetViews>
    <sheetView topLeftCell="U1" zoomScale="94" workbookViewId="0">
      <selection activeCell="F22" sqref="F22"/>
    </sheetView>
  </sheetViews>
  <sheetFormatPr defaultRowHeight="14.4" x14ac:dyDescent="0.3"/>
  <cols>
    <col min="1" max="1" width="17.5546875" customWidth="1"/>
    <col min="3" max="3" width="17.33203125" customWidth="1"/>
    <col min="5" max="5" width="17.6640625" customWidth="1"/>
    <col min="7" max="7" width="30.5546875" customWidth="1"/>
    <col min="9" max="9" width="19" customWidth="1"/>
    <col min="11" max="11" width="16.6640625" customWidth="1"/>
    <col min="13" max="13" width="16.44140625" customWidth="1"/>
    <col min="15" max="15" width="17.44140625" customWidth="1"/>
    <col min="17" max="17" width="14.109375" customWidth="1"/>
    <col min="19" max="19" width="14.6640625" customWidth="1"/>
    <col min="28" max="28" width="31.5546875" customWidth="1"/>
    <col min="29" max="29" width="36.88671875" customWidth="1"/>
  </cols>
  <sheetData>
    <row r="4" spans="1:29" ht="18" x14ac:dyDescent="0.35">
      <c r="A4" t="s">
        <v>0</v>
      </c>
      <c r="C4" s="2" t="s">
        <v>43</v>
      </c>
      <c r="E4" s="2" t="s">
        <v>44</v>
      </c>
      <c r="G4" s="2" t="s">
        <v>9</v>
      </c>
      <c r="I4" s="2" t="s">
        <v>45</v>
      </c>
      <c r="K4" s="2" t="s">
        <v>8</v>
      </c>
      <c r="M4" s="2" t="s">
        <v>7</v>
      </c>
      <c r="O4" s="2" t="s">
        <v>6</v>
      </c>
      <c r="Q4" s="2" t="s">
        <v>74</v>
      </c>
      <c r="S4" s="2" t="s">
        <v>75</v>
      </c>
      <c r="AB4" s="8" t="s">
        <v>65</v>
      </c>
      <c r="AC4" s="8" t="s">
        <v>2</v>
      </c>
    </row>
    <row r="5" spans="1:29" x14ac:dyDescent="0.3">
      <c r="A5" s="2" t="s">
        <v>43</v>
      </c>
      <c r="C5" s="3" t="s">
        <v>46</v>
      </c>
      <c r="E5" t="s">
        <v>49</v>
      </c>
      <c r="G5" t="s">
        <v>52</v>
      </c>
      <c r="I5" t="s">
        <v>54</v>
      </c>
      <c r="K5" t="s">
        <v>23</v>
      </c>
      <c r="M5" t="s">
        <v>61</v>
      </c>
      <c r="O5" t="s">
        <v>40</v>
      </c>
      <c r="Q5" t="s">
        <v>76</v>
      </c>
      <c r="S5" t="s">
        <v>81</v>
      </c>
      <c r="AB5" s="9" t="s">
        <v>46</v>
      </c>
      <c r="AC5" s="9">
        <v>100</v>
      </c>
    </row>
    <row r="6" spans="1:29" x14ac:dyDescent="0.3">
      <c r="A6" s="2" t="s">
        <v>44</v>
      </c>
      <c r="C6" s="3" t="s">
        <v>16</v>
      </c>
      <c r="E6" t="s">
        <v>50</v>
      </c>
      <c r="G6" t="s">
        <v>32</v>
      </c>
      <c r="I6" t="s">
        <v>55</v>
      </c>
      <c r="K6" t="s">
        <v>58</v>
      </c>
      <c r="M6" t="s">
        <v>62</v>
      </c>
      <c r="O6" t="s">
        <v>63</v>
      </c>
      <c r="Q6" t="s">
        <v>77</v>
      </c>
      <c r="S6" t="s">
        <v>82</v>
      </c>
      <c r="AB6" s="9" t="s">
        <v>16</v>
      </c>
      <c r="AC6" s="9">
        <v>50</v>
      </c>
    </row>
    <row r="7" spans="1:29" x14ac:dyDescent="0.3">
      <c r="A7" s="2" t="s">
        <v>9</v>
      </c>
      <c r="C7" s="3" t="s">
        <v>47</v>
      </c>
      <c r="E7" t="s">
        <v>51</v>
      </c>
      <c r="G7" t="s">
        <v>28</v>
      </c>
      <c r="I7" t="s">
        <v>56</v>
      </c>
      <c r="K7" t="s">
        <v>59</v>
      </c>
      <c r="M7" t="s">
        <v>19</v>
      </c>
      <c r="O7" t="s">
        <v>64</v>
      </c>
      <c r="Q7" t="s">
        <v>78</v>
      </c>
      <c r="S7" t="s">
        <v>83</v>
      </c>
      <c r="AB7" s="9" t="s">
        <v>47</v>
      </c>
      <c r="AC7" s="9">
        <v>70</v>
      </c>
    </row>
    <row r="8" spans="1:29" x14ac:dyDescent="0.3">
      <c r="A8" s="2" t="s">
        <v>45</v>
      </c>
      <c r="C8" s="4" t="s">
        <v>18</v>
      </c>
      <c r="E8" t="s">
        <v>17</v>
      </c>
      <c r="G8" t="s">
        <v>53</v>
      </c>
      <c r="I8" t="s">
        <v>57</v>
      </c>
      <c r="K8" t="s">
        <v>31</v>
      </c>
      <c r="M8" t="s">
        <v>33</v>
      </c>
      <c r="O8" t="s">
        <v>34</v>
      </c>
      <c r="Q8" t="s">
        <v>79</v>
      </c>
      <c r="S8" t="s">
        <v>84</v>
      </c>
      <c r="AB8" s="9" t="s">
        <v>18</v>
      </c>
      <c r="AC8" s="9">
        <v>60</v>
      </c>
    </row>
    <row r="9" spans="1:29" x14ac:dyDescent="0.3">
      <c r="A9" s="2" t="s">
        <v>8</v>
      </c>
      <c r="C9" s="5" t="s">
        <v>48</v>
      </c>
      <c r="E9" t="s">
        <v>12</v>
      </c>
      <c r="K9" t="s">
        <v>60</v>
      </c>
      <c r="O9" t="s">
        <v>37</v>
      </c>
      <c r="Q9" t="s">
        <v>80</v>
      </c>
      <c r="AB9" s="9" t="s">
        <v>48</v>
      </c>
      <c r="AC9" s="9">
        <v>80</v>
      </c>
    </row>
    <row r="10" spans="1:29" x14ac:dyDescent="0.3">
      <c r="A10" s="2" t="s">
        <v>7</v>
      </c>
      <c r="G10" s="3"/>
      <c r="I10" s="3"/>
      <c r="M10" s="3"/>
      <c r="AB10" s="9" t="s">
        <v>49</v>
      </c>
      <c r="AC10" s="9">
        <v>40</v>
      </c>
    </row>
    <row r="11" spans="1:29" x14ac:dyDescent="0.3">
      <c r="A11" s="2" t="s">
        <v>6</v>
      </c>
      <c r="E11" s="4"/>
      <c r="G11" s="4"/>
      <c r="I11" s="4"/>
      <c r="K11" s="4"/>
      <c r="M11" s="4"/>
      <c r="O11" s="4"/>
      <c r="AB11" s="9" t="s">
        <v>50</v>
      </c>
      <c r="AC11" s="9">
        <v>70</v>
      </c>
    </row>
    <row r="12" spans="1:29" x14ac:dyDescent="0.3">
      <c r="A12" s="2" t="s">
        <v>74</v>
      </c>
      <c r="E12" s="3"/>
      <c r="G12" s="3"/>
      <c r="I12" s="3"/>
      <c r="K12" s="3"/>
      <c r="M12" s="3"/>
      <c r="O12" s="3"/>
      <c r="AB12" s="9" t="s">
        <v>51</v>
      </c>
      <c r="AC12" s="9">
        <v>40</v>
      </c>
    </row>
    <row r="13" spans="1:29" x14ac:dyDescent="0.3">
      <c r="A13" s="2" t="s">
        <v>75</v>
      </c>
      <c r="E13" s="4"/>
      <c r="G13" s="4"/>
      <c r="I13" s="4"/>
      <c r="K13" s="4"/>
      <c r="M13" s="4"/>
      <c r="O13" s="4"/>
      <c r="AB13" s="9" t="s">
        <v>17</v>
      </c>
      <c r="AC13" s="9">
        <v>30</v>
      </c>
    </row>
    <row r="14" spans="1:29" x14ac:dyDescent="0.3">
      <c r="E14" s="3"/>
      <c r="G14" s="6"/>
      <c r="I14" s="3"/>
      <c r="K14" s="3"/>
      <c r="M14" s="3"/>
      <c r="O14" s="3"/>
      <c r="AB14" s="9" t="s">
        <v>12</v>
      </c>
      <c r="AC14" s="9">
        <v>80</v>
      </c>
    </row>
    <row r="15" spans="1:29" x14ac:dyDescent="0.3">
      <c r="E15" s="4"/>
      <c r="I15" s="4"/>
      <c r="K15" s="4"/>
      <c r="M15" s="5"/>
      <c r="O15" s="4"/>
      <c r="AB15" s="9" t="s">
        <v>52</v>
      </c>
      <c r="AC15" s="9">
        <v>40</v>
      </c>
    </row>
    <row r="16" spans="1:29" x14ac:dyDescent="0.3">
      <c r="E16" s="3"/>
      <c r="I16" s="3"/>
      <c r="K16" s="3"/>
      <c r="O16" s="3"/>
      <c r="AB16" s="9" t="s">
        <v>32</v>
      </c>
      <c r="AC16" s="9">
        <v>50</v>
      </c>
    </row>
    <row r="17" spans="5:29" x14ac:dyDescent="0.3">
      <c r="E17" s="4"/>
      <c r="I17" s="5"/>
      <c r="K17" s="4"/>
      <c r="O17" s="4"/>
      <c r="AB17" s="9" t="s">
        <v>28</v>
      </c>
      <c r="AC17" s="9">
        <v>50</v>
      </c>
    </row>
    <row r="18" spans="5:29" x14ac:dyDescent="0.3">
      <c r="E18" s="3"/>
      <c r="K18" s="6"/>
      <c r="O18" s="3"/>
      <c r="AB18" s="9" t="s">
        <v>53</v>
      </c>
      <c r="AC18" s="9">
        <v>30</v>
      </c>
    </row>
    <row r="19" spans="5:29" x14ac:dyDescent="0.3">
      <c r="E19" s="4"/>
      <c r="O19" s="4"/>
      <c r="AB19" s="9" t="s">
        <v>54</v>
      </c>
      <c r="AC19" s="9">
        <v>310</v>
      </c>
    </row>
    <row r="20" spans="5:29" x14ac:dyDescent="0.3">
      <c r="E20" s="3"/>
      <c r="O20" s="3"/>
      <c r="AB20" s="9" t="s">
        <v>55</v>
      </c>
      <c r="AC20" s="9">
        <v>160</v>
      </c>
    </row>
    <row r="21" spans="5:29" x14ac:dyDescent="0.3">
      <c r="E21" s="4"/>
      <c r="O21" s="4"/>
      <c r="AB21" s="9" t="s">
        <v>56</v>
      </c>
      <c r="AC21" s="9">
        <v>140</v>
      </c>
    </row>
    <row r="22" spans="5:29" x14ac:dyDescent="0.3">
      <c r="E22" s="3"/>
      <c r="O22" s="3"/>
      <c r="AB22" s="9" t="s">
        <v>57</v>
      </c>
      <c r="AC22" s="9">
        <v>180</v>
      </c>
    </row>
    <row r="23" spans="5:29" x14ac:dyDescent="0.3">
      <c r="E23" s="4"/>
      <c r="O23" s="5"/>
      <c r="AB23" s="9" t="s">
        <v>23</v>
      </c>
      <c r="AC23" s="9">
        <v>120</v>
      </c>
    </row>
    <row r="24" spans="5:29" x14ac:dyDescent="0.3">
      <c r="E24" s="3"/>
      <c r="AB24" s="9" t="s">
        <v>59</v>
      </c>
      <c r="AC24" s="9">
        <v>140</v>
      </c>
    </row>
    <row r="25" spans="5:29" x14ac:dyDescent="0.3">
      <c r="E25" s="5"/>
      <c r="AB25" s="9" t="s">
        <v>58</v>
      </c>
      <c r="AC25" s="9">
        <v>100</v>
      </c>
    </row>
    <row r="26" spans="5:29" x14ac:dyDescent="0.3">
      <c r="AB26" s="9" t="s">
        <v>31</v>
      </c>
      <c r="AC26" s="9">
        <v>120</v>
      </c>
    </row>
    <row r="27" spans="5:29" x14ac:dyDescent="0.3">
      <c r="AB27" s="9" t="s">
        <v>60</v>
      </c>
      <c r="AC27" s="9">
        <v>140</v>
      </c>
    </row>
    <row r="28" spans="5:29" x14ac:dyDescent="0.3">
      <c r="AB28" s="9" t="s">
        <v>61</v>
      </c>
      <c r="AC28" s="9">
        <v>90</v>
      </c>
    </row>
    <row r="29" spans="5:29" x14ac:dyDescent="0.3">
      <c r="AB29" s="9" t="s">
        <v>62</v>
      </c>
      <c r="AC29" s="9">
        <v>40</v>
      </c>
    </row>
    <row r="30" spans="5:29" x14ac:dyDescent="0.3">
      <c r="AB30" s="9" t="s">
        <v>19</v>
      </c>
      <c r="AC30" s="9">
        <v>80</v>
      </c>
    </row>
    <row r="31" spans="5:29" x14ac:dyDescent="0.3">
      <c r="AB31" s="9" t="s">
        <v>33</v>
      </c>
      <c r="AC31" s="9">
        <v>80</v>
      </c>
    </row>
    <row r="32" spans="5:29" x14ac:dyDescent="0.3">
      <c r="AB32" s="9" t="s">
        <v>40</v>
      </c>
      <c r="AC32" s="9">
        <v>110</v>
      </c>
    </row>
    <row r="33" spans="28:29" x14ac:dyDescent="0.3">
      <c r="AB33" s="9" t="s">
        <v>63</v>
      </c>
      <c r="AC33" s="9">
        <v>60</v>
      </c>
    </row>
    <row r="34" spans="28:29" x14ac:dyDescent="0.3">
      <c r="AB34" s="9" t="s">
        <v>64</v>
      </c>
      <c r="AC34" s="9">
        <v>80</v>
      </c>
    </row>
    <row r="35" spans="28:29" x14ac:dyDescent="0.3">
      <c r="AB35" s="9" t="s">
        <v>34</v>
      </c>
      <c r="AC35" s="9">
        <v>100</v>
      </c>
    </row>
    <row r="36" spans="28:29" x14ac:dyDescent="0.3">
      <c r="AB36" s="9" t="s">
        <v>37</v>
      </c>
      <c r="AC36" s="9">
        <v>80</v>
      </c>
    </row>
    <row r="37" spans="28:29" x14ac:dyDescent="0.3">
      <c r="AB37" s="9" t="s">
        <v>76</v>
      </c>
      <c r="AC37" s="9">
        <v>20</v>
      </c>
    </row>
    <row r="38" spans="28:29" x14ac:dyDescent="0.3">
      <c r="AB38" s="9" t="s">
        <v>77</v>
      </c>
      <c r="AC38" s="9">
        <v>20</v>
      </c>
    </row>
    <row r="39" spans="28:29" x14ac:dyDescent="0.3">
      <c r="AB39" s="9" t="s">
        <v>78</v>
      </c>
      <c r="AC39" s="9">
        <v>60</v>
      </c>
    </row>
    <row r="40" spans="28:29" x14ac:dyDescent="0.3">
      <c r="AB40" s="9" t="s">
        <v>79</v>
      </c>
      <c r="AC40" s="9">
        <v>80</v>
      </c>
    </row>
    <row r="41" spans="28:29" x14ac:dyDescent="0.3">
      <c r="AB41" s="9" t="s">
        <v>80</v>
      </c>
      <c r="AC41" s="9">
        <v>80</v>
      </c>
    </row>
    <row r="42" spans="28:29" x14ac:dyDescent="0.3">
      <c r="AB42" s="9" t="s">
        <v>81</v>
      </c>
      <c r="AC42" s="9">
        <v>60</v>
      </c>
    </row>
    <row r="43" spans="28:29" x14ac:dyDescent="0.3">
      <c r="AB43" s="9" t="s">
        <v>82</v>
      </c>
      <c r="AC43" s="9">
        <v>80</v>
      </c>
    </row>
    <row r="44" spans="28:29" x14ac:dyDescent="0.3">
      <c r="AB44" s="9" t="s">
        <v>83</v>
      </c>
      <c r="AC44" s="9">
        <v>160</v>
      </c>
    </row>
    <row r="45" spans="28:29" x14ac:dyDescent="0.3">
      <c r="AB45" s="9" t="s">
        <v>84</v>
      </c>
      <c r="AC45" s="9">
        <v>320</v>
      </c>
    </row>
    <row r="46" spans="28:29" x14ac:dyDescent="0.3">
      <c r="AB46" s="9"/>
      <c r="AC46" s="9"/>
    </row>
    <row r="47" spans="28:29" x14ac:dyDescent="0.3">
      <c r="AB47" s="9"/>
      <c r="AC47" s="9"/>
    </row>
    <row r="48" spans="28:29" x14ac:dyDescent="0.3">
      <c r="AB48" s="9"/>
      <c r="AC48" s="9"/>
    </row>
    <row r="49" spans="28:29" x14ac:dyDescent="0.3">
      <c r="AB49" s="9"/>
      <c r="AC49" s="9"/>
    </row>
    <row r="50" spans="28:29" x14ac:dyDescent="0.3">
      <c r="AB50" s="9"/>
      <c r="AC50" s="9"/>
    </row>
    <row r="51" spans="28:29" x14ac:dyDescent="0.3">
      <c r="AB51" s="9"/>
      <c r="AC51" s="9"/>
    </row>
    <row r="52" spans="28:29" x14ac:dyDescent="0.3">
      <c r="AB52" s="9"/>
      <c r="AC52" s="9"/>
    </row>
    <row r="53" spans="28:29" x14ac:dyDescent="0.3">
      <c r="AB53" s="9"/>
      <c r="AC53" s="9"/>
    </row>
    <row r="54" spans="28:29" x14ac:dyDescent="0.3">
      <c r="AB54" s="9"/>
      <c r="AC54" s="9"/>
    </row>
    <row r="55" spans="28:29" x14ac:dyDescent="0.3">
      <c r="AB55" s="9"/>
      <c r="AC55" s="9"/>
    </row>
    <row r="56" spans="28:29" x14ac:dyDescent="0.3">
      <c r="AB56" s="9"/>
      <c r="AC56" s="9"/>
    </row>
    <row r="57" spans="28:29" x14ac:dyDescent="0.3">
      <c r="AB57" s="9"/>
      <c r="AC57" s="9"/>
    </row>
    <row r="58" spans="28:29" x14ac:dyDescent="0.3">
      <c r="AB58" s="9"/>
      <c r="AC58" s="9"/>
    </row>
    <row r="59" spans="28:29" x14ac:dyDescent="0.3">
      <c r="AB59" s="9"/>
      <c r="AC59" s="9"/>
    </row>
    <row r="60" spans="28:29" x14ac:dyDescent="0.3">
      <c r="AB60" s="9"/>
      <c r="AC60" s="9"/>
    </row>
    <row r="61" spans="28:29" x14ac:dyDescent="0.3">
      <c r="AB61" s="9"/>
      <c r="AC61" s="9"/>
    </row>
    <row r="62" spans="28:29" x14ac:dyDescent="0.3">
      <c r="AB62" s="9"/>
      <c r="AC62" s="9"/>
    </row>
    <row r="63" spans="28:29" x14ac:dyDescent="0.3">
      <c r="AB63" s="9"/>
      <c r="AC63" s="9"/>
    </row>
    <row r="64" spans="28:29" x14ac:dyDescent="0.3">
      <c r="AB64" s="9"/>
      <c r="AC64" s="9"/>
    </row>
    <row r="65" spans="28:29" x14ac:dyDescent="0.3">
      <c r="AB65" s="9"/>
      <c r="AC65" s="9"/>
    </row>
    <row r="66" spans="28:29" x14ac:dyDescent="0.3">
      <c r="AB66" s="9"/>
      <c r="AC66" s="9"/>
    </row>
    <row r="67" spans="28:29" x14ac:dyDescent="0.3">
      <c r="AB67" s="9"/>
      <c r="AC67" s="9"/>
    </row>
    <row r="68" spans="28:29" x14ac:dyDescent="0.3">
      <c r="AB68" s="9"/>
      <c r="AC68" s="9"/>
    </row>
    <row r="69" spans="28:29" x14ac:dyDescent="0.3">
      <c r="AB69" s="9"/>
      <c r="AC69" s="9"/>
    </row>
    <row r="70" spans="28:29" x14ac:dyDescent="0.3">
      <c r="AB70" s="9"/>
      <c r="AC70" s="9"/>
    </row>
    <row r="71" spans="28:29" x14ac:dyDescent="0.3">
      <c r="AB71" s="9"/>
      <c r="AC71" s="9"/>
    </row>
    <row r="72" spans="28:29" x14ac:dyDescent="0.3">
      <c r="AB72" s="9"/>
      <c r="AC72" s="9"/>
    </row>
    <row r="73" spans="28:29" x14ac:dyDescent="0.3">
      <c r="AB73" s="9"/>
      <c r="AC73" s="9"/>
    </row>
    <row r="74" spans="28:29" x14ac:dyDescent="0.3">
      <c r="AB74" s="9"/>
      <c r="AC74" s="9"/>
    </row>
    <row r="75" spans="28:29" x14ac:dyDescent="0.3">
      <c r="AB75" s="9"/>
      <c r="AC75" s="9"/>
    </row>
    <row r="76" spans="28:29" x14ac:dyDescent="0.3">
      <c r="AB76" s="9"/>
      <c r="AC76" s="9"/>
    </row>
    <row r="77" spans="28:29" x14ac:dyDescent="0.3">
      <c r="AB77" s="9"/>
      <c r="AC77" s="9"/>
    </row>
    <row r="78" spans="28:29" x14ac:dyDescent="0.3">
      <c r="AB78" s="9"/>
      <c r="AC78" s="9"/>
    </row>
    <row r="79" spans="28:29" x14ac:dyDescent="0.3">
      <c r="AB79" s="9"/>
      <c r="AC79" s="9"/>
    </row>
    <row r="80" spans="28:29" x14ac:dyDescent="0.3">
      <c r="AB80" s="9"/>
      <c r="AC80" s="9"/>
    </row>
    <row r="81" spans="28:29" x14ac:dyDescent="0.3">
      <c r="AB81" s="9"/>
      <c r="AC81" s="9"/>
    </row>
    <row r="82" spans="28:29" x14ac:dyDescent="0.3">
      <c r="AB82" s="9"/>
      <c r="AC82" s="9"/>
    </row>
    <row r="83" spans="28:29" x14ac:dyDescent="0.3">
      <c r="AB83" s="9"/>
      <c r="AC83" s="9"/>
    </row>
    <row r="84" spans="28:29" x14ac:dyDescent="0.3">
      <c r="AB84" s="9"/>
      <c r="AC84" s="9"/>
    </row>
    <row r="85" spans="28:29" x14ac:dyDescent="0.3">
      <c r="AB85" s="9"/>
      <c r="AC85" s="9"/>
    </row>
    <row r="86" spans="28:29" x14ac:dyDescent="0.3">
      <c r="AB86" s="9"/>
      <c r="AC86" s="9"/>
    </row>
    <row r="87" spans="28:29" x14ac:dyDescent="0.3">
      <c r="AB87" s="9"/>
      <c r="AC87" s="9"/>
    </row>
    <row r="88" spans="28:29" x14ac:dyDescent="0.3">
      <c r="AB88" s="9"/>
      <c r="AC88" s="9"/>
    </row>
    <row r="89" spans="28:29" x14ac:dyDescent="0.3">
      <c r="AB89" s="9"/>
      <c r="AC89" s="9"/>
    </row>
    <row r="90" spans="28:29" x14ac:dyDescent="0.3">
      <c r="AB90" s="9"/>
      <c r="AC90" s="9"/>
    </row>
    <row r="91" spans="28:29" x14ac:dyDescent="0.3">
      <c r="AB91" s="9"/>
      <c r="AC91" s="9"/>
    </row>
    <row r="92" spans="28:29" x14ac:dyDescent="0.3">
      <c r="AB92" s="9"/>
      <c r="AC92" s="9"/>
    </row>
    <row r="93" spans="28:29" x14ac:dyDescent="0.3">
      <c r="AB93" s="9"/>
      <c r="AC93" s="9"/>
    </row>
    <row r="94" spans="28:29" x14ac:dyDescent="0.3">
      <c r="AB94" s="9"/>
      <c r="AC94" s="9"/>
    </row>
    <row r="95" spans="28:29" x14ac:dyDescent="0.3">
      <c r="AB95" s="9"/>
      <c r="AC95" s="9"/>
    </row>
    <row r="96" spans="28:29" x14ac:dyDescent="0.3">
      <c r="AB96" s="9"/>
      <c r="AC96" s="9"/>
    </row>
    <row r="97" spans="28:29" x14ac:dyDescent="0.3">
      <c r="AB97" s="9"/>
      <c r="AC97" s="9"/>
    </row>
    <row r="98" spans="28:29" x14ac:dyDescent="0.3">
      <c r="AB98" s="9"/>
      <c r="AC98" s="9"/>
    </row>
    <row r="99" spans="28:29" x14ac:dyDescent="0.3">
      <c r="AB99" s="9"/>
      <c r="AC99" s="9"/>
    </row>
    <row r="100" spans="28:29" x14ac:dyDescent="0.3">
      <c r="AB100" s="9"/>
      <c r="AC100" s="9"/>
    </row>
    <row r="101" spans="28:29" x14ac:dyDescent="0.3">
      <c r="AB101" s="9"/>
      <c r="AC101" s="9"/>
    </row>
    <row r="102" spans="28:29" x14ac:dyDescent="0.3">
      <c r="AB102" s="9"/>
      <c r="AC102" s="9"/>
    </row>
    <row r="103" spans="28:29" x14ac:dyDescent="0.3">
      <c r="AB103" s="9"/>
      <c r="AC103" s="9"/>
    </row>
    <row r="104" spans="28:29" x14ac:dyDescent="0.3">
      <c r="AB104" s="9"/>
      <c r="AC104" s="9"/>
    </row>
    <row r="105" spans="28:29" x14ac:dyDescent="0.3">
      <c r="AB105" s="9"/>
      <c r="AC105" s="9"/>
    </row>
    <row r="106" spans="28:29" x14ac:dyDescent="0.3">
      <c r="AB106" s="9"/>
      <c r="AC106" s="9"/>
    </row>
    <row r="107" spans="28:29" x14ac:dyDescent="0.3">
      <c r="AB107" s="9"/>
      <c r="AC107" s="9"/>
    </row>
    <row r="108" spans="28:29" x14ac:dyDescent="0.3">
      <c r="AB108" s="9"/>
      <c r="AC108" s="9"/>
    </row>
    <row r="109" spans="28:29" x14ac:dyDescent="0.3">
      <c r="AB109" s="9"/>
      <c r="AC109" s="9"/>
    </row>
    <row r="110" spans="28:29" x14ac:dyDescent="0.3">
      <c r="AB110" s="9"/>
      <c r="AC110" s="9"/>
    </row>
    <row r="111" spans="28:29" x14ac:dyDescent="0.3">
      <c r="AB111" s="9"/>
      <c r="AC111" s="9"/>
    </row>
    <row r="112" spans="28:29" x14ac:dyDescent="0.3">
      <c r="AB112" s="9"/>
      <c r="AC112" s="9"/>
    </row>
    <row r="113" spans="28:29" x14ac:dyDescent="0.3">
      <c r="AB113" s="9"/>
      <c r="AC113" s="9"/>
    </row>
    <row r="114" spans="28:29" x14ac:dyDescent="0.3">
      <c r="AB114" s="9"/>
      <c r="AC114" s="9"/>
    </row>
    <row r="115" spans="28:29" x14ac:dyDescent="0.3">
      <c r="AB115" s="9"/>
      <c r="AC115" s="9"/>
    </row>
    <row r="116" spans="28:29" x14ac:dyDescent="0.3">
      <c r="AB116" s="9"/>
      <c r="AC116" s="9"/>
    </row>
    <row r="117" spans="28:29" x14ac:dyDescent="0.3">
      <c r="AB117" s="9"/>
      <c r="AC117" s="9"/>
    </row>
    <row r="118" spans="28:29" x14ac:dyDescent="0.3">
      <c r="AB118" s="9"/>
      <c r="AC118" s="9"/>
    </row>
    <row r="119" spans="28:29" x14ac:dyDescent="0.3">
      <c r="AB119" s="9"/>
      <c r="AC119" s="9"/>
    </row>
    <row r="120" spans="28:29" x14ac:dyDescent="0.3">
      <c r="AB120" s="9"/>
      <c r="AC120" s="9"/>
    </row>
    <row r="121" spans="28:29" x14ac:dyDescent="0.3">
      <c r="AB121" s="9"/>
      <c r="AC121" s="9"/>
    </row>
    <row r="122" spans="28:29" x14ac:dyDescent="0.3">
      <c r="AB122" s="9"/>
      <c r="AC122" s="9"/>
    </row>
    <row r="123" spans="28:29" x14ac:dyDescent="0.3">
      <c r="AB123" s="9"/>
      <c r="AC123" s="9"/>
    </row>
    <row r="124" spans="28:29" x14ac:dyDescent="0.3">
      <c r="AB124" s="9"/>
      <c r="AC124" s="9"/>
    </row>
    <row r="125" spans="28:29" x14ac:dyDescent="0.3">
      <c r="AB125" s="9"/>
      <c r="AC125" s="9"/>
    </row>
    <row r="126" spans="28:29" x14ac:dyDescent="0.3">
      <c r="AB126" s="9"/>
      <c r="AC126" s="9"/>
    </row>
    <row r="127" spans="28:29" x14ac:dyDescent="0.3">
      <c r="AB127" s="9"/>
      <c r="AC127" s="9"/>
    </row>
    <row r="128" spans="28:29" x14ac:dyDescent="0.3">
      <c r="AB128" s="9"/>
      <c r="AC128" s="9"/>
    </row>
    <row r="129" spans="28:29" x14ac:dyDescent="0.3">
      <c r="AB129" s="9"/>
      <c r="AC129" s="9"/>
    </row>
    <row r="130" spans="28:29" x14ac:dyDescent="0.3">
      <c r="AB130" s="9"/>
      <c r="AC130" s="9"/>
    </row>
    <row r="131" spans="28:29" x14ac:dyDescent="0.3">
      <c r="AB131" s="9"/>
      <c r="AC131" s="9"/>
    </row>
    <row r="132" spans="28:29" x14ac:dyDescent="0.3">
      <c r="AB132" s="9"/>
      <c r="AC132" s="9"/>
    </row>
    <row r="133" spans="28:29" x14ac:dyDescent="0.3">
      <c r="AB133" s="9"/>
      <c r="AC133" s="9"/>
    </row>
    <row r="134" spans="28:29" x14ac:dyDescent="0.3">
      <c r="AB134" s="9"/>
      <c r="AC134" s="9"/>
    </row>
    <row r="135" spans="28:29" x14ac:dyDescent="0.3">
      <c r="AB135" s="9"/>
      <c r="AC135" s="9"/>
    </row>
    <row r="136" spans="28:29" x14ac:dyDescent="0.3">
      <c r="AB136" s="9"/>
      <c r="AC136" s="9"/>
    </row>
    <row r="137" spans="28:29" x14ac:dyDescent="0.3">
      <c r="AB137" s="9"/>
      <c r="AC137" s="9"/>
    </row>
    <row r="138" spans="28:29" x14ac:dyDescent="0.3">
      <c r="AB138" s="9"/>
      <c r="AC138" s="9"/>
    </row>
    <row r="139" spans="28:29" x14ac:dyDescent="0.3">
      <c r="AB139" s="9"/>
      <c r="AC139" s="9"/>
    </row>
    <row r="140" spans="28:29" x14ac:dyDescent="0.3">
      <c r="AB140" s="9"/>
      <c r="AC140" s="9"/>
    </row>
    <row r="141" spans="28:29" x14ac:dyDescent="0.3">
      <c r="AB141" s="9"/>
      <c r="AC141" s="9"/>
    </row>
    <row r="142" spans="28:29" x14ac:dyDescent="0.3">
      <c r="AB142" s="9"/>
      <c r="AC142" s="9"/>
    </row>
    <row r="143" spans="28:29" x14ac:dyDescent="0.3">
      <c r="AB143" s="9"/>
      <c r="AC143" s="9"/>
    </row>
    <row r="144" spans="28:29" x14ac:dyDescent="0.3">
      <c r="AB144" s="9"/>
      <c r="AC144" s="9"/>
    </row>
    <row r="145" spans="28:29" x14ac:dyDescent="0.3">
      <c r="AB145" s="9"/>
      <c r="AC145" s="9"/>
    </row>
    <row r="146" spans="28:29" x14ac:dyDescent="0.3">
      <c r="AB146" s="9"/>
      <c r="AC146" s="9"/>
    </row>
    <row r="147" spans="28:29" x14ac:dyDescent="0.3">
      <c r="AB147" s="9"/>
      <c r="AC147" s="9"/>
    </row>
    <row r="148" spans="28:29" x14ac:dyDescent="0.3">
      <c r="AB148" s="9"/>
      <c r="AC148" s="9"/>
    </row>
    <row r="149" spans="28:29" x14ac:dyDescent="0.3">
      <c r="AB149" s="9"/>
      <c r="AC149" s="9"/>
    </row>
    <row r="150" spans="28:29" x14ac:dyDescent="0.3">
      <c r="AB150" s="9"/>
      <c r="AC150" s="9"/>
    </row>
    <row r="151" spans="28:29" x14ac:dyDescent="0.3">
      <c r="AB151" s="9"/>
      <c r="AC151" s="9"/>
    </row>
    <row r="152" spans="28:29" x14ac:dyDescent="0.3">
      <c r="AB152" s="9"/>
      <c r="AC152" s="9"/>
    </row>
    <row r="153" spans="28:29" x14ac:dyDescent="0.3">
      <c r="AB153" s="9"/>
      <c r="AC153" s="9"/>
    </row>
    <row r="154" spans="28:29" x14ac:dyDescent="0.3">
      <c r="AB154" s="9"/>
      <c r="AC154" s="9"/>
    </row>
    <row r="155" spans="28:29" x14ac:dyDescent="0.3">
      <c r="AB155" s="9"/>
      <c r="AC155" s="9"/>
    </row>
    <row r="156" spans="28:29" x14ac:dyDescent="0.3">
      <c r="AB156" s="9"/>
      <c r="AC156" s="9"/>
    </row>
    <row r="157" spans="28:29" x14ac:dyDescent="0.3">
      <c r="AB157" s="9"/>
      <c r="AC157" s="9"/>
    </row>
    <row r="158" spans="28:29" x14ac:dyDescent="0.3">
      <c r="AB158" s="9"/>
      <c r="AC158" s="9"/>
    </row>
    <row r="159" spans="28:29" x14ac:dyDescent="0.3">
      <c r="AB159" s="9"/>
      <c r="AC159" s="9"/>
    </row>
    <row r="160" spans="28:29" x14ac:dyDescent="0.3">
      <c r="AB160" s="9"/>
      <c r="AC160" s="9"/>
    </row>
    <row r="161" spans="28:29" x14ac:dyDescent="0.3">
      <c r="AB161" s="9"/>
      <c r="AC161" s="9"/>
    </row>
    <row r="162" spans="28:29" x14ac:dyDescent="0.3">
      <c r="AB162" s="9"/>
      <c r="AC162" s="9"/>
    </row>
    <row r="163" spans="28:29" x14ac:dyDescent="0.3">
      <c r="AB163" s="9"/>
      <c r="AC163" s="9"/>
    </row>
    <row r="164" spans="28:29" x14ac:dyDescent="0.3">
      <c r="AB164" s="9"/>
      <c r="AC164" s="9"/>
    </row>
    <row r="165" spans="28:29" x14ac:dyDescent="0.3">
      <c r="AB165" s="9"/>
      <c r="AC165" s="9"/>
    </row>
    <row r="166" spans="28:29" x14ac:dyDescent="0.3">
      <c r="AB166" s="9"/>
      <c r="AC166" s="9"/>
    </row>
    <row r="167" spans="28:29" x14ac:dyDescent="0.3">
      <c r="AB167" s="9"/>
      <c r="AC167" s="9"/>
    </row>
    <row r="168" spans="28:29" x14ac:dyDescent="0.3">
      <c r="AB168" s="9"/>
      <c r="AC168" s="9"/>
    </row>
    <row r="169" spans="28:29" x14ac:dyDescent="0.3">
      <c r="AB169" s="9"/>
      <c r="AC169" s="9"/>
    </row>
    <row r="170" spans="28:29" x14ac:dyDescent="0.3">
      <c r="AB170" s="9"/>
      <c r="AC170" s="9"/>
    </row>
    <row r="171" spans="28:29" x14ac:dyDescent="0.3">
      <c r="AB171" s="9"/>
      <c r="AC171" s="9"/>
    </row>
    <row r="172" spans="28:29" x14ac:dyDescent="0.3">
      <c r="AB172" s="9"/>
      <c r="AC172" s="9"/>
    </row>
    <row r="173" spans="28:29" x14ac:dyDescent="0.3">
      <c r="AB173" s="9"/>
      <c r="AC173" s="9"/>
    </row>
    <row r="174" spans="28:29" x14ac:dyDescent="0.3">
      <c r="AB174" s="9"/>
      <c r="AC174" s="9"/>
    </row>
    <row r="175" spans="28:29" x14ac:dyDescent="0.3">
      <c r="AB175" s="9"/>
      <c r="AC175" s="9"/>
    </row>
    <row r="176" spans="28:29" x14ac:dyDescent="0.3">
      <c r="AB176" s="9"/>
      <c r="AC176" s="9"/>
    </row>
    <row r="177" spans="28:29" x14ac:dyDescent="0.3">
      <c r="AB177" s="9"/>
      <c r="AC177" s="9"/>
    </row>
    <row r="178" spans="28:29" x14ac:dyDescent="0.3">
      <c r="AB178" s="9"/>
      <c r="AC178" s="9"/>
    </row>
    <row r="179" spans="28:29" x14ac:dyDescent="0.3">
      <c r="AB179" s="9"/>
      <c r="AC179" s="9"/>
    </row>
    <row r="180" spans="28:29" x14ac:dyDescent="0.3">
      <c r="AB180" s="9"/>
      <c r="AC180" s="9"/>
    </row>
    <row r="181" spans="28:29" x14ac:dyDescent="0.3">
      <c r="AB181" s="9"/>
      <c r="AC181" s="9"/>
    </row>
    <row r="182" spans="28:29" x14ac:dyDescent="0.3">
      <c r="AB182" s="9"/>
      <c r="AC182" s="9"/>
    </row>
    <row r="183" spans="28:29" x14ac:dyDescent="0.3">
      <c r="AB183" s="9"/>
      <c r="AC183" s="9"/>
    </row>
    <row r="184" spans="28:29" x14ac:dyDescent="0.3">
      <c r="AB184" s="9"/>
      <c r="AC184" s="9"/>
    </row>
    <row r="185" spans="28:29" x14ac:dyDescent="0.3">
      <c r="AB185" s="9"/>
      <c r="AC185" s="9"/>
    </row>
    <row r="186" spans="28:29" x14ac:dyDescent="0.3">
      <c r="AB186" s="9"/>
      <c r="AC186" s="9"/>
    </row>
    <row r="187" spans="28:29" x14ac:dyDescent="0.3">
      <c r="AB187" s="9"/>
      <c r="AC187" s="9"/>
    </row>
    <row r="188" spans="28:29" x14ac:dyDescent="0.3">
      <c r="AB188" s="9"/>
      <c r="AC188" s="9"/>
    </row>
    <row r="189" spans="28:29" x14ac:dyDescent="0.3">
      <c r="AB189" s="9"/>
      <c r="AC189" s="9"/>
    </row>
    <row r="190" spans="28:29" x14ac:dyDescent="0.3">
      <c r="AB190" s="9"/>
      <c r="AC190" s="9"/>
    </row>
    <row r="191" spans="28:29" x14ac:dyDescent="0.3">
      <c r="AB191" s="9"/>
      <c r="AC191" s="9"/>
    </row>
    <row r="192" spans="28:29" x14ac:dyDescent="0.3">
      <c r="AB192" s="9"/>
      <c r="AC192" s="9"/>
    </row>
    <row r="193" spans="28:29" x14ac:dyDescent="0.3">
      <c r="AB193" s="9"/>
      <c r="AC193" s="9"/>
    </row>
    <row r="194" spans="28:29" x14ac:dyDescent="0.3">
      <c r="AB194" s="9"/>
      <c r="AC194" s="9"/>
    </row>
    <row r="195" spans="28:29" x14ac:dyDescent="0.3">
      <c r="AB195" s="9"/>
      <c r="AC195" s="9"/>
    </row>
    <row r="196" spans="28:29" x14ac:dyDescent="0.3">
      <c r="AB196" s="9"/>
      <c r="AC196" s="9"/>
    </row>
    <row r="197" spans="28:29" x14ac:dyDescent="0.3">
      <c r="AB197" s="9"/>
      <c r="AC197" s="9"/>
    </row>
    <row r="198" spans="28:29" x14ac:dyDescent="0.3">
      <c r="AB198" s="9"/>
      <c r="AC198" s="9"/>
    </row>
    <row r="199" spans="28:29" x14ac:dyDescent="0.3">
      <c r="AB199" s="9"/>
      <c r="AC199" s="9"/>
    </row>
    <row r="200" spans="28:29" x14ac:dyDescent="0.3">
      <c r="AB200" s="9"/>
      <c r="AC200" s="9"/>
    </row>
    <row r="201" spans="28:29" x14ac:dyDescent="0.3">
      <c r="AB201" s="9"/>
      <c r="AC201" s="9"/>
    </row>
    <row r="202" spans="28:29" x14ac:dyDescent="0.3">
      <c r="AB202" s="9"/>
      <c r="AC202" s="9"/>
    </row>
    <row r="203" spans="28:29" x14ac:dyDescent="0.3">
      <c r="AB203" s="9"/>
      <c r="AC203" s="9"/>
    </row>
    <row r="204" spans="28:29" x14ac:dyDescent="0.3">
      <c r="AB204" s="9"/>
      <c r="AC204" s="9"/>
    </row>
    <row r="205" spans="28:29" x14ac:dyDescent="0.3">
      <c r="AB205" s="9"/>
      <c r="AC205" s="9"/>
    </row>
    <row r="206" spans="28:29" x14ac:dyDescent="0.3">
      <c r="AB206" s="9"/>
      <c r="AC206" s="9"/>
    </row>
    <row r="207" spans="28:29" x14ac:dyDescent="0.3">
      <c r="AB207" s="9"/>
      <c r="AC207" s="9"/>
    </row>
    <row r="208" spans="28:29" x14ac:dyDescent="0.3">
      <c r="AB208" s="9"/>
      <c r="AC208" s="9"/>
    </row>
    <row r="209" spans="28:29" x14ac:dyDescent="0.3">
      <c r="AB209" s="9"/>
      <c r="AC209" s="9"/>
    </row>
    <row r="210" spans="28:29" x14ac:dyDescent="0.3">
      <c r="AB210" s="9"/>
      <c r="AC210" s="9"/>
    </row>
    <row r="211" spans="28:29" x14ac:dyDescent="0.3">
      <c r="AB211" s="9"/>
      <c r="AC211" s="9"/>
    </row>
    <row r="212" spans="28:29" x14ac:dyDescent="0.3">
      <c r="AB212" s="9"/>
      <c r="AC212" s="9"/>
    </row>
    <row r="213" spans="28:29" x14ac:dyDescent="0.3">
      <c r="AB213" s="9"/>
      <c r="AC213" s="9"/>
    </row>
    <row r="214" spans="28:29" x14ac:dyDescent="0.3">
      <c r="AB214" s="9"/>
      <c r="AC214" s="9"/>
    </row>
    <row r="215" spans="28:29" x14ac:dyDescent="0.3">
      <c r="AB215" s="9"/>
      <c r="AC215" s="9"/>
    </row>
    <row r="216" spans="28:29" x14ac:dyDescent="0.3">
      <c r="AB216" s="9"/>
      <c r="AC216" s="9"/>
    </row>
    <row r="217" spans="28:29" x14ac:dyDescent="0.3">
      <c r="AB217" s="9"/>
      <c r="AC217" s="9"/>
    </row>
    <row r="218" spans="28:29" x14ac:dyDescent="0.3">
      <c r="AB218" s="9"/>
      <c r="AC218" s="9"/>
    </row>
    <row r="219" spans="28:29" x14ac:dyDescent="0.3">
      <c r="AB219" s="9"/>
      <c r="AC219" s="9"/>
    </row>
    <row r="220" spans="28:29" x14ac:dyDescent="0.3">
      <c r="AB220" s="9"/>
      <c r="AC220" s="9"/>
    </row>
    <row r="221" spans="28:29" x14ac:dyDescent="0.3">
      <c r="AB221" s="9"/>
      <c r="AC221" s="9"/>
    </row>
    <row r="222" spans="28:29" x14ac:dyDescent="0.3">
      <c r="AB222" s="9"/>
      <c r="AC222" s="9"/>
    </row>
    <row r="223" spans="28:29" x14ac:dyDescent="0.3">
      <c r="AB223" s="9"/>
      <c r="AC223" s="9"/>
    </row>
    <row r="224" spans="28:29" x14ac:dyDescent="0.3">
      <c r="AB224" s="9"/>
      <c r="AC224" s="9"/>
    </row>
    <row r="225" spans="28:29" x14ac:dyDescent="0.3">
      <c r="AB225" s="9"/>
      <c r="AC225" s="9"/>
    </row>
    <row r="226" spans="28:29" x14ac:dyDescent="0.3">
      <c r="AB226" s="9"/>
      <c r="AC226" s="9"/>
    </row>
    <row r="227" spans="28:29" x14ac:dyDescent="0.3">
      <c r="AB227" s="9"/>
      <c r="AC227" s="9"/>
    </row>
    <row r="228" spans="28:29" x14ac:dyDescent="0.3">
      <c r="AB228" s="9"/>
      <c r="AC228" s="9"/>
    </row>
    <row r="229" spans="28:29" x14ac:dyDescent="0.3">
      <c r="AB229" s="9"/>
      <c r="AC229" s="9"/>
    </row>
    <row r="230" spans="28:29" x14ac:dyDescent="0.3">
      <c r="AB230" s="9"/>
      <c r="AC230" s="9"/>
    </row>
    <row r="231" spans="28:29" x14ac:dyDescent="0.3">
      <c r="AB231" s="9"/>
      <c r="AC231" s="9"/>
    </row>
    <row r="232" spans="28:29" x14ac:dyDescent="0.3">
      <c r="AB232" s="9"/>
      <c r="AC232" s="9"/>
    </row>
    <row r="233" spans="28:29" x14ac:dyDescent="0.3">
      <c r="AB233" s="9"/>
      <c r="AC233" s="9"/>
    </row>
    <row r="234" spans="28:29" x14ac:dyDescent="0.3">
      <c r="AB234" s="9"/>
      <c r="AC234" s="9"/>
    </row>
    <row r="235" spans="28:29" x14ac:dyDescent="0.3">
      <c r="AB235" s="9"/>
      <c r="AC235" s="9"/>
    </row>
    <row r="236" spans="28:29" x14ac:dyDescent="0.3">
      <c r="AB236" s="9"/>
      <c r="AC236" s="9"/>
    </row>
    <row r="237" spans="28:29" x14ac:dyDescent="0.3">
      <c r="AB237" s="9"/>
      <c r="AC237" s="9"/>
    </row>
    <row r="238" spans="28:29" x14ac:dyDescent="0.3">
      <c r="AB238" s="9"/>
      <c r="AC238" s="9"/>
    </row>
    <row r="239" spans="28:29" x14ac:dyDescent="0.3">
      <c r="AB239" s="9"/>
      <c r="AC239" s="9"/>
    </row>
    <row r="240" spans="28:29" x14ac:dyDescent="0.3">
      <c r="AB240" s="9"/>
      <c r="AC240" s="9"/>
    </row>
    <row r="241" spans="28:29" x14ac:dyDescent="0.3">
      <c r="AB241" s="9"/>
      <c r="AC241" s="9"/>
    </row>
    <row r="242" spans="28:29" x14ac:dyDescent="0.3">
      <c r="AB242" s="9"/>
      <c r="AC242" s="9"/>
    </row>
    <row r="243" spans="28:29" x14ac:dyDescent="0.3">
      <c r="AB243" s="9"/>
      <c r="AC243" s="9"/>
    </row>
    <row r="244" spans="28:29" x14ac:dyDescent="0.3">
      <c r="AB244" s="9"/>
      <c r="AC244" s="9"/>
    </row>
    <row r="245" spans="28:29" x14ac:dyDescent="0.3">
      <c r="AB245" s="9"/>
      <c r="AC245" s="9"/>
    </row>
    <row r="246" spans="28:29" x14ac:dyDescent="0.3">
      <c r="AB246" s="9"/>
      <c r="AC246" s="9"/>
    </row>
    <row r="247" spans="28:29" x14ac:dyDescent="0.3">
      <c r="AB247" s="9"/>
      <c r="AC247" s="9"/>
    </row>
    <row r="248" spans="28:29" x14ac:dyDescent="0.3">
      <c r="AB248" s="9"/>
      <c r="AC248" s="9"/>
    </row>
    <row r="249" spans="28:29" x14ac:dyDescent="0.3">
      <c r="AB249" s="9"/>
      <c r="AC249" s="9"/>
    </row>
    <row r="250" spans="28:29" x14ac:dyDescent="0.3">
      <c r="AB250" s="9"/>
      <c r="AC250" s="9"/>
    </row>
    <row r="251" spans="28:29" x14ac:dyDescent="0.3">
      <c r="AB251" s="9"/>
      <c r="AC251" s="9"/>
    </row>
    <row r="252" spans="28:29" x14ac:dyDescent="0.3">
      <c r="AB252" s="9"/>
      <c r="AC252" s="9"/>
    </row>
    <row r="253" spans="28:29" x14ac:dyDescent="0.3">
      <c r="AB253" s="9"/>
      <c r="AC253" s="9"/>
    </row>
    <row r="254" spans="28:29" x14ac:dyDescent="0.3">
      <c r="AB254" s="9"/>
      <c r="AC254" s="9"/>
    </row>
    <row r="255" spans="28:29" x14ac:dyDescent="0.3">
      <c r="AB255" s="9"/>
      <c r="AC255" s="9"/>
    </row>
    <row r="256" spans="28:29" x14ac:dyDescent="0.3">
      <c r="AB256" s="9"/>
      <c r="AC256" s="9"/>
    </row>
    <row r="257" spans="28:29" x14ac:dyDescent="0.3">
      <c r="AB257" s="9"/>
      <c r="AC257" s="9"/>
    </row>
    <row r="258" spans="28:29" x14ac:dyDescent="0.3">
      <c r="AB258" s="9"/>
      <c r="AC258" s="9"/>
    </row>
    <row r="259" spans="28:29" x14ac:dyDescent="0.3">
      <c r="AB259" s="9"/>
      <c r="AC259" s="9"/>
    </row>
    <row r="260" spans="28:29" x14ac:dyDescent="0.3">
      <c r="AB260" s="9"/>
      <c r="AC260" s="9"/>
    </row>
    <row r="261" spans="28:29" x14ac:dyDescent="0.3">
      <c r="AB261" s="9"/>
      <c r="AC261" s="9"/>
    </row>
    <row r="262" spans="28:29" x14ac:dyDescent="0.3">
      <c r="AB262" s="9"/>
      <c r="AC262" s="9"/>
    </row>
    <row r="263" spans="28:29" x14ac:dyDescent="0.3">
      <c r="AB263" s="9"/>
      <c r="AC263" s="9"/>
    </row>
    <row r="264" spans="28:29" x14ac:dyDescent="0.3">
      <c r="AB264" s="9"/>
      <c r="AC264" s="9"/>
    </row>
    <row r="265" spans="28:29" x14ac:dyDescent="0.3">
      <c r="AB265" s="9"/>
      <c r="AC265" s="9"/>
    </row>
    <row r="266" spans="28:29" x14ac:dyDescent="0.3">
      <c r="AB266" s="9"/>
      <c r="AC266" s="9"/>
    </row>
    <row r="267" spans="28:29" x14ac:dyDescent="0.3">
      <c r="AB267" s="9"/>
      <c r="AC267" s="9"/>
    </row>
    <row r="268" spans="28:29" x14ac:dyDescent="0.3">
      <c r="AB268" s="9"/>
      <c r="AC268" s="9"/>
    </row>
    <row r="269" spans="28:29" x14ac:dyDescent="0.3">
      <c r="AB269" s="9"/>
      <c r="AC269" s="9"/>
    </row>
    <row r="270" spans="28:29" x14ac:dyDescent="0.3">
      <c r="AB270" s="9"/>
      <c r="AC270" s="9"/>
    </row>
    <row r="271" spans="28:29" x14ac:dyDescent="0.3">
      <c r="AB271" s="9"/>
      <c r="AC271" s="9"/>
    </row>
    <row r="272" spans="28:29" x14ac:dyDescent="0.3">
      <c r="AB272" s="9"/>
      <c r="AC272" s="9"/>
    </row>
    <row r="273" spans="28:29" x14ac:dyDescent="0.3">
      <c r="AB273" s="9"/>
      <c r="AC273" s="9"/>
    </row>
    <row r="274" spans="28:29" x14ac:dyDescent="0.3">
      <c r="AB274" s="9"/>
      <c r="AC274" s="9"/>
    </row>
    <row r="275" spans="28:29" x14ac:dyDescent="0.3">
      <c r="AB275" s="9"/>
      <c r="AC275" s="9"/>
    </row>
    <row r="276" spans="28:29" x14ac:dyDescent="0.3">
      <c r="AB276" s="9"/>
      <c r="AC276" s="9"/>
    </row>
    <row r="277" spans="28:29" x14ac:dyDescent="0.3">
      <c r="AB277" s="9"/>
      <c r="AC277" s="9"/>
    </row>
    <row r="278" spans="28:29" x14ac:dyDescent="0.3">
      <c r="AB278" s="9"/>
      <c r="AC278" s="9"/>
    </row>
    <row r="279" spans="28:29" x14ac:dyDescent="0.3">
      <c r="AB279" s="9"/>
      <c r="AC279" s="9"/>
    </row>
    <row r="280" spans="28:29" x14ac:dyDescent="0.3">
      <c r="AB280" s="9"/>
      <c r="AC280" s="9"/>
    </row>
    <row r="281" spans="28:29" x14ac:dyDescent="0.3">
      <c r="AB281" s="9"/>
      <c r="AC281" s="9"/>
    </row>
    <row r="282" spans="28:29" x14ac:dyDescent="0.3">
      <c r="AB282" s="9"/>
      <c r="AC282" s="9"/>
    </row>
    <row r="283" spans="28:29" x14ac:dyDescent="0.3">
      <c r="AB283" s="9"/>
      <c r="AC283" s="9"/>
    </row>
    <row r="284" spans="28:29" x14ac:dyDescent="0.3">
      <c r="AB284" s="9"/>
      <c r="AC284" s="9"/>
    </row>
    <row r="285" spans="28:29" x14ac:dyDescent="0.3">
      <c r="AB285" s="9"/>
      <c r="AC285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1D036-7EDA-4373-AC69-D1E50D4E42BF}">
  <sheetPr codeName="Sheet5"/>
  <dimension ref="A1:G5"/>
  <sheetViews>
    <sheetView workbookViewId="0">
      <selection activeCell="A2" sqref="A2"/>
    </sheetView>
  </sheetViews>
  <sheetFormatPr defaultRowHeight="14.4" x14ac:dyDescent="0.3"/>
  <cols>
    <col min="1" max="1" width="15.6640625" customWidth="1"/>
    <col min="2" max="2" width="14.88671875" customWidth="1"/>
    <col min="3" max="3" width="13.6640625" customWidth="1"/>
    <col min="4" max="4" width="17.88671875" customWidth="1"/>
    <col min="5" max="5" width="15.44140625" customWidth="1"/>
    <col min="6" max="6" width="13.33203125" customWidth="1"/>
    <col min="7" max="7" width="24.5546875" customWidth="1"/>
  </cols>
  <sheetData>
    <row r="1" spans="1:7" x14ac:dyDescent="0.3">
      <c r="A1" t="s">
        <v>68</v>
      </c>
      <c r="B1" t="s">
        <v>69</v>
      </c>
      <c r="C1" t="s">
        <v>0</v>
      </c>
      <c r="D1" t="s">
        <v>70</v>
      </c>
      <c r="E1" t="s">
        <v>2</v>
      </c>
      <c r="F1" t="s">
        <v>42</v>
      </c>
      <c r="G1" t="s">
        <v>71</v>
      </c>
    </row>
    <row r="3" spans="1:7" x14ac:dyDescent="0.3">
      <c r="A3">
        <v>2</v>
      </c>
      <c r="B3" s="26">
        <f ca="1">NOW()</f>
        <v>45903.842160532404</v>
      </c>
      <c r="C3" t="s">
        <v>8</v>
      </c>
      <c r="D3" t="s">
        <v>59</v>
      </c>
      <c r="E3">
        <v>140</v>
      </c>
      <c r="F3">
        <v>1</v>
      </c>
      <c r="G3">
        <f>F3*E3</f>
        <v>140</v>
      </c>
    </row>
    <row r="4" spans="1:7" x14ac:dyDescent="0.3">
      <c r="A4">
        <v>2</v>
      </c>
      <c r="B4" s="26">
        <f ca="1">NOW()</f>
        <v>45903.842160532404</v>
      </c>
      <c r="C4" t="s">
        <v>9</v>
      </c>
      <c r="D4" t="s">
        <v>28</v>
      </c>
      <c r="E4">
        <v>50</v>
      </c>
      <c r="F4">
        <v>2</v>
      </c>
      <c r="G4">
        <f>F4*E4</f>
        <v>100</v>
      </c>
    </row>
    <row r="5" spans="1:7" x14ac:dyDescent="0.3">
      <c r="A5">
        <v>2</v>
      </c>
      <c r="B5" s="26">
        <f ca="1">NOW()</f>
        <v>45903.842160532404</v>
      </c>
      <c r="C5" t="s">
        <v>43</v>
      </c>
      <c r="D5" t="s">
        <v>47</v>
      </c>
      <c r="E5">
        <v>70</v>
      </c>
      <c r="F5">
        <v>2</v>
      </c>
      <c r="G5">
        <f>F5*E5</f>
        <v>140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355E-2253-4E20-BC41-F5EFCB4EA657}">
  <sheetPr codeName="Sheet4"/>
  <dimension ref="A1:G11"/>
  <sheetViews>
    <sheetView workbookViewId="0">
      <selection activeCell="A2" sqref="A2"/>
    </sheetView>
  </sheetViews>
  <sheetFormatPr defaultRowHeight="14.4" x14ac:dyDescent="0.3"/>
  <cols>
    <col min="1" max="1" width="14.6640625" customWidth="1"/>
    <col min="2" max="2" width="20.33203125" customWidth="1"/>
    <col min="3" max="3" width="21.33203125" customWidth="1"/>
    <col min="4" max="4" width="20.33203125" customWidth="1"/>
    <col min="5" max="5" width="14.6640625" customWidth="1"/>
    <col min="6" max="6" width="14.33203125" customWidth="1"/>
    <col min="7" max="7" width="16.44140625" customWidth="1"/>
  </cols>
  <sheetData>
    <row r="1" spans="1:7" x14ac:dyDescent="0.3">
      <c r="A1" t="s">
        <v>68</v>
      </c>
      <c r="B1" t="s">
        <v>69</v>
      </c>
      <c r="C1" t="s">
        <v>0</v>
      </c>
      <c r="D1" t="s">
        <v>70</v>
      </c>
      <c r="E1" t="s">
        <v>2</v>
      </c>
      <c r="F1" t="s">
        <v>42</v>
      </c>
      <c r="G1" t="s">
        <v>71</v>
      </c>
    </row>
    <row r="3" spans="1:7" x14ac:dyDescent="0.3">
      <c r="A3">
        <v>5</v>
      </c>
      <c r="B3" s="26">
        <f ca="1">NOW()</f>
        <v>45903.842160532404</v>
      </c>
      <c r="C3" t="s">
        <v>44</v>
      </c>
      <c r="D3" t="s">
        <v>17</v>
      </c>
      <c r="E3">
        <v>30</v>
      </c>
      <c r="F3">
        <v>5</v>
      </c>
      <c r="G3">
        <f>E3*F3</f>
        <v>150</v>
      </c>
    </row>
    <row r="4" spans="1:7" x14ac:dyDescent="0.3">
      <c r="A4">
        <v>5</v>
      </c>
      <c r="B4" s="26">
        <f ca="1">NOW()</f>
        <v>45903.842160532404</v>
      </c>
      <c r="C4" t="s">
        <v>7</v>
      </c>
      <c r="D4" t="s">
        <v>62</v>
      </c>
      <c r="E4">
        <v>40</v>
      </c>
      <c r="F4">
        <v>5</v>
      </c>
      <c r="G4">
        <f>E4*F4</f>
        <v>200</v>
      </c>
    </row>
    <row r="5" spans="1:7" x14ac:dyDescent="0.3">
      <c r="A5">
        <v>5</v>
      </c>
      <c r="B5" s="26">
        <f ca="1">NOW()</f>
        <v>45903.842160532404</v>
      </c>
      <c r="C5" t="s">
        <v>74</v>
      </c>
      <c r="D5" t="s">
        <v>78</v>
      </c>
      <c r="E5">
        <v>60</v>
      </c>
      <c r="F5">
        <v>7</v>
      </c>
      <c r="G5">
        <f>E5*F5</f>
        <v>420</v>
      </c>
    </row>
    <row r="6" spans="1:7" x14ac:dyDescent="0.3">
      <c r="B6" s="28"/>
    </row>
    <row r="7" spans="1:7" x14ac:dyDescent="0.3">
      <c r="B7" s="28"/>
    </row>
    <row r="8" spans="1:7" x14ac:dyDescent="0.3">
      <c r="B8" s="28"/>
    </row>
    <row r="9" spans="1:7" x14ac:dyDescent="0.3">
      <c r="B9" s="28"/>
    </row>
    <row r="10" spans="1:7" x14ac:dyDescent="0.3">
      <c r="B10" s="28"/>
    </row>
    <row r="11" spans="1:7" x14ac:dyDescent="0.3">
      <c r="B11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9E454-F3FC-4E72-AF8D-7F0760EDF4EA}">
  <sheetPr codeName="Sheet7"/>
  <dimension ref="A1:G17"/>
  <sheetViews>
    <sheetView workbookViewId="0">
      <selection activeCell="A2" sqref="A2"/>
    </sheetView>
  </sheetViews>
  <sheetFormatPr defaultRowHeight="14.4" x14ac:dyDescent="0.3"/>
  <cols>
    <col min="1" max="1" width="15.33203125" customWidth="1"/>
    <col min="2" max="2" width="15.44140625" customWidth="1"/>
    <col min="3" max="3" width="14.44140625" customWidth="1"/>
    <col min="4" max="4" width="17.6640625" customWidth="1"/>
    <col min="5" max="5" width="13.33203125" customWidth="1"/>
    <col min="6" max="6" width="15.6640625" customWidth="1"/>
    <col min="7" max="7" width="14.6640625" customWidth="1"/>
  </cols>
  <sheetData>
    <row r="1" spans="1:7" x14ac:dyDescent="0.3">
      <c r="A1" t="s">
        <v>68</v>
      </c>
      <c r="B1" t="s">
        <v>69</v>
      </c>
      <c r="C1" t="s">
        <v>0</v>
      </c>
      <c r="D1" t="s">
        <v>70</v>
      </c>
      <c r="E1" t="s">
        <v>2</v>
      </c>
      <c r="F1" t="s">
        <v>42</v>
      </c>
      <c r="G1" t="s">
        <v>71</v>
      </c>
    </row>
    <row r="3" spans="1:7" x14ac:dyDescent="0.3">
      <c r="A3">
        <v>2</v>
      </c>
      <c r="B3" s="26">
        <f t="shared" ref="B3:B8" ca="1" si="0">NOW()</f>
        <v>45903.842160532404</v>
      </c>
      <c r="C3" t="s">
        <v>44</v>
      </c>
      <c r="D3" t="s">
        <v>62</v>
      </c>
      <c r="E3">
        <v>40</v>
      </c>
      <c r="F3">
        <v>2</v>
      </c>
      <c r="G3">
        <f t="shared" ref="G3:G8" si="1">E3*F3</f>
        <v>80</v>
      </c>
    </row>
    <row r="4" spans="1:7" x14ac:dyDescent="0.3">
      <c r="A4">
        <v>2</v>
      </c>
      <c r="B4" s="26">
        <f t="shared" ca="1" si="0"/>
        <v>45903.842160532404</v>
      </c>
      <c r="C4" t="s">
        <v>44</v>
      </c>
      <c r="D4" t="s">
        <v>32</v>
      </c>
      <c r="E4">
        <v>50</v>
      </c>
      <c r="F4">
        <v>4</v>
      </c>
      <c r="G4">
        <f t="shared" si="1"/>
        <v>200</v>
      </c>
    </row>
    <row r="5" spans="1:7" x14ac:dyDescent="0.3">
      <c r="A5">
        <v>2</v>
      </c>
      <c r="B5" s="26">
        <f t="shared" ca="1" si="0"/>
        <v>45903.842160532404</v>
      </c>
      <c r="C5" t="s">
        <v>44</v>
      </c>
      <c r="D5" t="s">
        <v>50</v>
      </c>
      <c r="E5">
        <v>70</v>
      </c>
      <c r="F5">
        <v>4</v>
      </c>
      <c r="G5">
        <f t="shared" si="1"/>
        <v>280</v>
      </c>
    </row>
    <row r="6" spans="1:7" x14ac:dyDescent="0.3">
      <c r="A6">
        <v>2</v>
      </c>
      <c r="B6" s="26">
        <f t="shared" ca="1" si="0"/>
        <v>45903.842160532404</v>
      </c>
      <c r="C6" t="s">
        <v>44</v>
      </c>
      <c r="D6" t="s">
        <v>34</v>
      </c>
      <c r="E6">
        <v>100</v>
      </c>
      <c r="F6">
        <v>4</v>
      </c>
      <c r="G6">
        <f t="shared" si="1"/>
        <v>400</v>
      </c>
    </row>
    <row r="7" spans="1:7" x14ac:dyDescent="0.3">
      <c r="A7">
        <v>2</v>
      </c>
      <c r="B7" s="26">
        <f t="shared" ca="1" si="0"/>
        <v>45903.842160532404</v>
      </c>
      <c r="C7" t="s">
        <v>44</v>
      </c>
      <c r="D7" t="s">
        <v>50</v>
      </c>
      <c r="E7">
        <v>70</v>
      </c>
      <c r="F7">
        <v>5</v>
      </c>
      <c r="G7">
        <f t="shared" si="1"/>
        <v>350</v>
      </c>
    </row>
    <row r="8" spans="1:7" x14ac:dyDescent="0.3">
      <c r="A8">
        <v>2</v>
      </c>
      <c r="B8" s="26">
        <f t="shared" ca="1" si="0"/>
        <v>45903.842160532404</v>
      </c>
      <c r="C8" t="s">
        <v>44</v>
      </c>
      <c r="D8" t="s">
        <v>51</v>
      </c>
      <c r="E8">
        <v>40</v>
      </c>
      <c r="F8">
        <v>12</v>
      </c>
      <c r="G8">
        <f t="shared" si="1"/>
        <v>480</v>
      </c>
    </row>
    <row r="9" spans="1:7" x14ac:dyDescent="0.3">
      <c r="B9" s="28"/>
    </row>
    <row r="10" spans="1:7" x14ac:dyDescent="0.3">
      <c r="B10" s="28"/>
    </row>
    <row r="11" spans="1:7" x14ac:dyDescent="0.3">
      <c r="B11" s="28"/>
    </row>
    <row r="12" spans="1:7" x14ac:dyDescent="0.3">
      <c r="B12" s="28"/>
    </row>
    <row r="13" spans="1:7" x14ac:dyDescent="0.3">
      <c r="B13" s="28"/>
    </row>
    <row r="14" spans="1:7" x14ac:dyDescent="0.3">
      <c r="B14" s="28"/>
    </row>
    <row r="15" spans="1:7" x14ac:dyDescent="0.3">
      <c r="B15" s="28"/>
    </row>
    <row r="16" spans="1:7" x14ac:dyDescent="0.3">
      <c r="B16" s="28"/>
    </row>
    <row r="17" spans="2:2" x14ac:dyDescent="0.3">
      <c r="B17" s="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A2125-E996-4A97-952C-80EBC187A832}">
  <sheetPr codeName="Sheet8"/>
  <dimension ref="A1:G8"/>
  <sheetViews>
    <sheetView workbookViewId="0">
      <selection activeCell="A2" sqref="A2"/>
    </sheetView>
  </sheetViews>
  <sheetFormatPr defaultRowHeight="14.4" x14ac:dyDescent="0.3"/>
  <cols>
    <col min="1" max="1" width="17.6640625" customWidth="1"/>
    <col min="2" max="2" width="17.44140625" customWidth="1"/>
    <col min="3" max="3" width="16.33203125" customWidth="1"/>
    <col min="4" max="4" width="14.6640625" customWidth="1"/>
    <col min="5" max="5" width="13.109375" customWidth="1"/>
    <col min="6" max="6" width="14.88671875" customWidth="1"/>
    <col min="7" max="7" width="13.33203125" customWidth="1"/>
  </cols>
  <sheetData>
    <row r="1" spans="1:7" x14ac:dyDescent="0.3">
      <c r="A1" t="s">
        <v>68</v>
      </c>
      <c r="B1" t="s">
        <v>69</v>
      </c>
      <c r="C1" t="s">
        <v>0</v>
      </c>
      <c r="D1" t="s">
        <v>70</v>
      </c>
      <c r="E1" t="s">
        <v>2</v>
      </c>
      <c r="F1" t="s">
        <v>42</v>
      </c>
      <c r="G1" t="s">
        <v>71</v>
      </c>
    </row>
    <row r="3" spans="1:7" x14ac:dyDescent="0.3">
      <c r="A3">
        <v>5</v>
      </c>
      <c r="B3" s="26">
        <f ca="1">NOW()</f>
        <v>45903.842160532404</v>
      </c>
      <c r="C3" t="s">
        <v>44</v>
      </c>
      <c r="D3" t="s">
        <v>50</v>
      </c>
      <c r="E3">
        <v>70</v>
      </c>
      <c r="F3">
        <v>6</v>
      </c>
      <c r="G3">
        <f>E3*F3</f>
        <v>420</v>
      </c>
    </row>
    <row r="4" spans="1:7" x14ac:dyDescent="0.3">
      <c r="A4">
        <v>3</v>
      </c>
      <c r="B4" s="26">
        <f ca="1">NOW()</f>
        <v>45903.842160532404</v>
      </c>
      <c r="C4" t="s">
        <v>74</v>
      </c>
      <c r="D4" t="s">
        <v>79</v>
      </c>
      <c r="E4">
        <v>80</v>
      </c>
      <c r="F4">
        <v>4</v>
      </c>
      <c r="G4">
        <f>E4*F4</f>
        <v>320</v>
      </c>
    </row>
    <row r="5" spans="1:7" x14ac:dyDescent="0.3">
      <c r="A5">
        <v>3</v>
      </c>
      <c r="B5" s="26">
        <f ca="1">NOW()</f>
        <v>45903.842160532404</v>
      </c>
      <c r="C5" t="s">
        <v>8</v>
      </c>
      <c r="D5" t="s">
        <v>59</v>
      </c>
      <c r="E5">
        <v>140</v>
      </c>
      <c r="F5">
        <v>5</v>
      </c>
      <c r="G5">
        <f>E5*F5</f>
        <v>700</v>
      </c>
    </row>
    <row r="6" spans="1:7" x14ac:dyDescent="0.3">
      <c r="A6">
        <v>3</v>
      </c>
      <c r="B6" s="26">
        <f ca="1">NOW()</f>
        <v>45903.842160532404</v>
      </c>
      <c r="C6" t="s">
        <v>9</v>
      </c>
      <c r="D6" t="s">
        <v>32</v>
      </c>
      <c r="E6">
        <v>50</v>
      </c>
      <c r="F6">
        <v>5</v>
      </c>
      <c r="G6">
        <f>E6*F6</f>
        <v>250</v>
      </c>
    </row>
    <row r="7" spans="1:7" x14ac:dyDescent="0.3">
      <c r="B7" s="28"/>
    </row>
    <row r="8" spans="1:7" x14ac:dyDescent="0.3">
      <c r="B8" s="2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CB0E3-F8C4-46D1-AB44-1D2839E27FCC}">
  <sheetPr codeName="Sheet10"/>
  <dimension ref="A1:G23"/>
  <sheetViews>
    <sheetView workbookViewId="0">
      <selection activeCell="A2" sqref="A2"/>
    </sheetView>
  </sheetViews>
  <sheetFormatPr defaultColWidth="18.6640625" defaultRowHeight="14.4" x14ac:dyDescent="0.3"/>
  <cols>
    <col min="1" max="7" width="18.6640625" customWidth="1"/>
  </cols>
  <sheetData>
    <row r="1" spans="1:7" x14ac:dyDescent="0.3">
      <c r="A1" t="s">
        <v>68</v>
      </c>
      <c r="B1" t="s">
        <v>69</v>
      </c>
      <c r="C1" t="s">
        <v>0</v>
      </c>
      <c r="D1" t="s">
        <v>70</v>
      </c>
      <c r="E1" t="s">
        <v>2</v>
      </c>
      <c r="F1" t="s">
        <v>42</v>
      </c>
      <c r="G1" t="s">
        <v>71</v>
      </c>
    </row>
    <row r="3" spans="1:7" x14ac:dyDescent="0.3">
      <c r="A3">
        <v>4</v>
      </c>
      <c r="B3" s="26">
        <f ca="1">NOW()</f>
        <v>45903.842160532404</v>
      </c>
      <c r="C3" t="s">
        <v>8</v>
      </c>
      <c r="D3" t="s">
        <v>58</v>
      </c>
      <c r="E3">
        <v>100</v>
      </c>
      <c r="F3">
        <v>6</v>
      </c>
      <c r="G3">
        <f>E3*F3</f>
        <v>600</v>
      </c>
    </row>
    <row r="4" spans="1:7" x14ac:dyDescent="0.3">
      <c r="A4">
        <v>4</v>
      </c>
      <c r="B4" s="26">
        <f ca="1">NOW()</f>
        <v>45903.842160532404</v>
      </c>
      <c r="C4" t="s">
        <v>75</v>
      </c>
      <c r="D4" t="s">
        <v>84</v>
      </c>
      <c r="E4">
        <v>320</v>
      </c>
      <c r="F4">
        <v>4</v>
      </c>
      <c r="G4">
        <f>E4*F4</f>
        <v>1280</v>
      </c>
    </row>
    <row r="5" spans="1:7" x14ac:dyDescent="0.3">
      <c r="A5">
        <v>4</v>
      </c>
      <c r="B5" s="26">
        <f ca="1">NOW()</f>
        <v>45903.842160532404</v>
      </c>
      <c r="C5" t="s">
        <v>7</v>
      </c>
      <c r="D5" t="s">
        <v>33</v>
      </c>
      <c r="E5">
        <v>80</v>
      </c>
      <c r="F5">
        <v>4</v>
      </c>
      <c r="G5">
        <f>E5*F5</f>
        <v>320</v>
      </c>
    </row>
    <row r="6" spans="1:7" x14ac:dyDescent="0.3">
      <c r="A6">
        <v>4</v>
      </c>
      <c r="B6" s="26">
        <f ca="1">NOW()</f>
        <v>45903.842160532404</v>
      </c>
      <c r="C6" t="s">
        <v>7</v>
      </c>
      <c r="D6" t="s">
        <v>19</v>
      </c>
      <c r="E6">
        <v>80</v>
      </c>
      <c r="F6">
        <v>5</v>
      </c>
      <c r="G6">
        <f>E6*F6</f>
        <v>400</v>
      </c>
    </row>
    <row r="7" spans="1:7" x14ac:dyDescent="0.3">
      <c r="B7" s="28"/>
    </row>
    <row r="8" spans="1:7" x14ac:dyDescent="0.3">
      <c r="B8" s="28"/>
    </row>
    <row r="9" spans="1:7" x14ac:dyDescent="0.3">
      <c r="B9" s="28"/>
    </row>
    <row r="10" spans="1:7" x14ac:dyDescent="0.3">
      <c r="B10" s="28"/>
    </row>
    <row r="11" spans="1:7" x14ac:dyDescent="0.3">
      <c r="B11" s="28"/>
    </row>
    <row r="12" spans="1:7" x14ac:dyDescent="0.3">
      <c r="B12" s="28"/>
    </row>
    <row r="13" spans="1:7" x14ac:dyDescent="0.3">
      <c r="B13" s="28"/>
    </row>
    <row r="21" spans="2:2" x14ac:dyDescent="0.3">
      <c r="B21" s="28"/>
    </row>
    <row r="22" spans="2:2" x14ac:dyDescent="0.3">
      <c r="B22" s="28"/>
    </row>
    <row r="23" spans="2:2" x14ac:dyDescent="0.3">
      <c r="B23" s="2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6C2A8-A922-47B2-A694-8B4268DEECDA}">
  <sheetPr codeName="Sheet9"/>
  <dimension ref="A1:G23"/>
  <sheetViews>
    <sheetView workbookViewId="0">
      <selection activeCell="A2" sqref="A2"/>
    </sheetView>
  </sheetViews>
  <sheetFormatPr defaultRowHeight="14.4" x14ac:dyDescent="0.3"/>
  <cols>
    <col min="1" max="1" width="23.33203125" customWidth="1"/>
    <col min="2" max="2" width="22" customWidth="1"/>
    <col min="3" max="3" width="20.109375" customWidth="1"/>
    <col min="4" max="4" width="14.6640625" customWidth="1"/>
    <col min="5" max="5" width="15.6640625" customWidth="1"/>
    <col min="7" max="7" width="14.5546875" customWidth="1"/>
  </cols>
  <sheetData>
    <row r="1" spans="1:7" x14ac:dyDescent="0.3">
      <c r="A1" t="s">
        <v>68</v>
      </c>
      <c r="B1" t="s">
        <v>69</v>
      </c>
      <c r="C1" t="s">
        <v>0</v>
      </c>
      <c r="D1" t="s">
        <v>70</v>
      </c>
      <c r="E1" t="s">
        <v>2</v>
      </c>
      <c r="F1" t="s">
        <v>42</v>
      </c>
      <c r="G1" t="s">
        <v>71</v>
      </c>
    </row>
    <row r="3" spans="1:7" x14ac:dyDescent="0.3">
      <c r="A3">
        <v>1</v>
      </c>
      <c r="B3" s="26">
        <f ca="1">NOW()</f>
        <v>45903.842160532404</v>
      </c>
      <c r="C3" t="s">
        <v>6</v>
      </c>
      <c r="D3" t="s">
        <v>64</v>
      </c>
      <c r="E3">
        <v>80</v>
      </c>
      <c r="F3">
        <v>2</v>
      </c>
      <c r="G3">
        <f>E3*F3</f>
        <v>160</v>
      </c>
    </row>
    <row r="4" spans="1:7" x14ac:dyDescent="0.3">
      <c r="A4">
        <v>1</v>
      </c>
      <c r="B4" s="26">
        <f ca="1">NOW()</f>
        <v>45903.842160532404</v>
      </c>
      <c r="C4" t="s">
        <v>44</v>
      </c>
      <c r="D4" t="s">
        <v>50</v>
      </c>
      <c r="E4">
        <v>70</v>
      </c>
      <c r="F4">
        <v>2</v>
      </c>
      <c r="G4">
        <f>E4*F4</f>
        <v>140</v>
      </c>
    </row>
    <row r="5" spans="1:7" x14ac:dyDescent="0.3">
      <c r="A5">
        <v>2</v>
      </c>
      <c r="B5" s="26">
        <f t="shared" ref="B5:B10" ca="1" si="0">NOW()</f>
        <v>45903.842160532404</v>
      </c>
      <c r="C5" t="s">
        <v>44</v>
      </c>
      <c r="D5" t="s">
        <v>50</v>
      </c>
      <c r="E5">
        <v>70</v>
      </c>
      <c r="F5">
        <v>3</v>
      </c>
      <c r="G5">
        <f t="shared" ref="G5:G10" si="1">E5*F5</f>
        <v>210</v>
      </c>
    </row>
    <row r="6" spans="1:7" x14ac:dyDescent="0.3">
      <c r="A6">
        <v>2</v>
      </c>
      <c r="B6" s="26">
        <f t="shared" ca="1" si="0"/>
        <v>45903.842160532404</v>
      </c>
      <c r="C6" t="s">
        <v>9</v>
      </c>
      <c r="D6" t="s">
        <v>53</v>
      </c>
      <c r="E6">
        <v>30</v>
      </c>
      <c r="F6">
        <v>3</v>
      </c>
      <c r="G6">
        <f t="shared" si="1"/>
        <v>90</v>
      </c>
    </row>
    <row r="7" spans="1:7" x14ac:dyDescent="0.3">
      <c r="A7">
        <v>3</v>
      </c>
      <c r="B7" s="26">
        <f t="shared" ca="1" si="0"/>
        <v>45903.842160532404</v>
      </c>
      <c r="C7" t="s">
        <v>8</v>
      </c>
      <c r="D7" t="s">
        <v>58</v>
      </c>
      <c r="E7">
        <v>100</v>
      </c>
      <c r="F7">
        <v>7</v>
      </c>
      <c r="G7">
        <f t="shared" si="1"/>
        <v>700</v>
      </c>
    </row>
    <row r="8" spans="1:7" x14ac:dyDescent="0.3">
      <c r="A8">
        <v>1</v>
      </c>
      <c r="B8" s="26">
        <f t="shared" ca="1" si="0"/>
        <v>45903.842160532404</v>
      </c>
      <c r="C8" t="s">
        <v>6</v>
      </c>
      <c r="D8" t="s">
        <v>64</v>
      </c>
      <c r="E8">
        <v>80</v>
      </c>
      <c r="F8">
        <v>4</v>
      </c>
      <c r="G8">
        <f t="shared" si="1"/>
        <v>320</v>
      </c>
    </row>
    <row r="9" spans="1:7" x14ac:dyDescent="0.3">
      <c r="A9">
        <v>1</v>
      </c>
      <c r="B9" s="26">
        <f t="shared" ca="1" si="0"/>
        <v>45903.842160532404</v>
      </c>
      <c r="C9" t="s">
        <v>9</v>
      </c>
      <c r="D9" t="s">
        <v>32</v>
      </c>
      <c r="E9">
        <v>50</v>
      </c>
      <c r="F9">
        <v>6</v>
      </c>
      <c r="G9">
        <f t="shared" si="1"/>
        <v>300</v>
      </c>
    </row>
    <row r="10" spans="1:7" x14ac:dyDescent="0.3">
      <c r="A10">
        <v>1</v>
      </c>
      <c r="B10" s="26">
        <f t="shared" ca="1" si="0"/>
        <v>45903.842160532404</v>
      </c>
      <c r="C10" t="s">
        <v>44</v>
      </c>
      <c r="D10" t="s">
        <v>50</v>
      </c>
      <c r="E10">
        <v>70</v>
      </c>
      <c r="F10">
        <v>5</v>
      </c>
      <c r="G10">
        <f t="shared" si="1"/>
        <v>350</v>
      </c>
    </row>
    <row r="11" spans="1:7" x14ac:dyDescent="0.3">
      <c r="B11" s="28"/>
    </row>
    <row r="12" spans="1:7" x14ac:dyDescent="0.3">
      <c r="B12" s="28"/>
    </row>
    <row r="13" spans="1:7" x14ac:dyDescent="0.3">
      <c r="B13" s="28"/>
    </row>
    <row r="14" spans="1:7" x14ac:dyDescent="0.3">
      <c r="B14" s="28"/>
    </row>
    <row r="15" spans="1:7" x14ac:dyDescent="0.3">
      <c r="B15" s="28"/>
    </row>
    <row r="16" spans="1:7" x14ac:dyDescent="0.3">
      <c r="B16" s="28"/>
    </row>
    <row r="17" spans="2:2" x14ac:dyDescent="0.3">
      <c r="B17" s="28"/>
    </row>
    <row r="18" spans="2:2" x14ac:dyDescent="0.3">
      <c r="B18" s="28"/>
    </row>
    <row r="19" spans="2:2" x14ac:dyDescent="0.3">
      <c r="B19" s="29"/>
    </row>
    <row r="20" spans="2:2" x14ac:dyDescent="0.3">
      <c r="B20" s="29"/>
    </row>
    <row r="21" spans="2:2" x14ac:dyDescent="0.3">
      <c r="B21" s="29"/>
    </row>
    <row r="22" spans="2:2" x14ac:dyDescent="0.3">
      <c r="B22" s="29"/>
    </row>
    <row r="23" spans="2:2" x14ac:dyDescent="0.3">
      <c r="B23" s="2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84605-C043-4EDB-A084-47B832725384}">
  <sheetPr codeName="Sheet3"/>
  <dimension ref="D5:Z29"/>
  <sheetViews>
    <sheetView showGridLines="0" topLeftCell="A4" zoomScale="84" zoomScaleNormal="100" workbookViewId="0">
      <selection activeCell="Y17" sqref="Y17"/>
    </sheetView>
  </sheetViews>
  <sheetFormatPr defaultRowHeight="14.4" x14ac:dyDescent="0.3"/>
  <cols>
    <col min="2" max="3" width="0" hidden="1" customWidth="1"/>
    <col min="4" max="4" width="15.109375" hidden="1" customWidth="1"/>
    <col min="5" max="5" width="19.44140625" hidden="1" customWidth="1"/>
    <col min="6" max="6" width="10.33203125" hidden="1" customWidth="1"/>
    <col min="7" max="12" width="0" hidden="1" customWidth="1"/>
    <col min="13" max="13" width="7" hidden="1" customWidth="1"/>
    <col min="14" max="14" width="3.6640625" hidden="1" customWidth="1"/>
    <col min="15" max="15" width="26.44140625" hidden="1" customWidth="1"/>
    <col min="16" max="16" width="15.44140625" hidden="1" customWidth="1"/>
    <col min="17" max="17" width="17.6640625" hidden="1" customWidth="1"/>
    <col min="19" max="19" width="22.88671875" customWidth="1"/>
    <col min="20" max="20" width="27.6640625" bestFit="1" customWidth="1"/>
    <col min="21" max="21" width="22.6640625" customWidth="1"/>
    <col min="22" max="22" width="18.6640625" customWidth="1"/>
  </cols>
  <sheetData>
    <row r="5" spans="5:26" ht="14.4" customHeight="1" x14ac:dyDescent="0.3">
      <c r="E5" s="14"/>
      <c r="F5" s="15"/>
      <c r="G5" s="15"/>
      <c r="H5" s="15"/>
      <c r="I5" s="15"/>
      <c r="J5" s="15"/>
      <c r="K5" s="15"/>
      <c r="L5" s="15"/>
      <c r="M5" s="15"/>
      <c r="O5" s="7"/>
    </row>
    <row r="6" spans="5:26" x14ac:dyDescent="0.3">
      <c r="E6" s="15"/>
      <c r="F6" s="15"/>
      <c r="G6" s="15"/>
      <c r="H6" s="15"/>
      <c r="I6" s="15"/>
      <c r="J6" s="15"/>
      <c r="K6" s="15"/>
      <c r="L6" s="15"/>
      <c r="M6" s="15"/>
    </row>
    <row r="7" spans="5:26" ht="15" thickBot="1" x14ac:dyDescent="0.35">
      <c r="E7" s="15"/>
      <c r="F7" s="15"/>
      <c r="G7" s="15"/>
      <c r="H7" s="15"/>
      <c r="I7" s="15"/>
      <c r="J7" s="15"/>
      <c r="K7" s="15"/>
      <c r="L7" s="15"/>
      <c r="M7" s="15"/>
      <c r="P7" s="10"/>
      <c r="Q7" s="7"/>
    </row>
    <row r="8" spans="5:26" x14ac:dyDescent="0.3">
      <c r="E8" s="15"/>
      <c r="F8" s="15"/>
      <c r="G8" s="15"/>
      <c r="H8" s="15"/>
      <c r="I8" s="15"/>
      <c r="J8" s="15"/>
      <c r="K8" s="15"/>
      <c r="L8" s="15"/>
      <c r="M8" s="15"/>
      <c r="P8" s="7"/>
      <c r="Q8" s="7"/>
      <c r="S8" s="34" t="s">
        <v>67</v>
      </c>
      <c r="T8" s="35"/>
      <c r="U8" s="35"/>
      <c r="V8" s="36"/>
    </row>
    <row r="9" spans="5:26" ht="14.4" customHeight="1" x14ac:dyDescent="0.3">
      <c r="E9" s="15"/>
      <c r="F9" s="15"/>
      <c r="G9" s="15"/>
      <c r="H9" s="15"/>
      <c r="I9" s="15"/>
      <c r="J9" s="15"/>
      <c r="K9" s="15"/>
      <c r="L9" s="15"/>
      <c r="M9" s="15"/>
      <c r="P9" s="10"/>
      <c r="Q9" s="7"/>
      <c r="S9" s="37"/>
      <c r="T9" s="38"/>
      <c r="U9" s="38"/>
      <c r="V9" s="39"/>
      <c r="W9" s="14"/>
      <c r="X9" s="14"/>
      <c r="Y9" s="14"/>
      <c r="Z9" s="14"/>
    </row>
    <row r="10" spans="5:26" ht="14.4" customHeight="1" x14ac:dyDescent="0.3">
      <c r="E10" s="11"/>
      <c r="L10" s="11"/>
      <c r="P10" s="7"/>
      <c r="Q10" s="7"/>
      <c r="S10" s="37"/>
      <c r="T10" s="38"/>
      <c r="U10" s="38"/>
      <c r="V10" s="39"/>
      <c r="W10" s="14"/>
      <c r="X10" s="14"/>
      <c r="Y10" s="14"/>
      <c r="Z10" s="14"/>
    </row>
    <row r="11" spans="5:26" ht="15" customHeight="1" x14ac:dyDescent="0.3">
      <c r="E11" s="22"/>
      <c r="F11" s="16"/>
      <c r="J11" s="10"/>
      <c r="K11" s="7"/>
      <c r="M11" s="13"/>
      <c r="N11" s="13"/>
      <c r="O11" s="13"/>
      <c r="P11" s="13"/>
      <c r="Q11" s="13"/>
      <c r="R11" s="14"/>
      <c r="S11" s="37"/>
      <c r="T11" s="38"/>
      <c r="U11" s="38"/>
      <c r="V11" s="39"/>
    </row>
    <row r="12" spans="5:26" ht="15" customHeight="1" thickBot="1" x14ac:dyDescent="0.35">
      <c r="E12" s="23"/>
      <c r="F12" s="17"/>
      <c r="M12" s="13"/>
      <c r="N12" s="13"/>
      <c r="O12" s="13"/>
      <c r="P12" s="13"/>
      <c r="Q12" s="13"/>
      <c r="R12" s="14"/>
      <c r="S12" s="37"/>
      <c r="T12" s="38"/>
      <c r="U12" s="38"/>
      <c r="V12" s="39"/>
    </row>
    <row r="13" spans="5:26" ht="14.4" customHeight="1" thickBot="1" x14ac:dyDescent="0.35">
      <c r="E13" s="11"/>
      <c r="S13" s="40"/>
      <c r="T13" s="41"/>
      <c r="U13" s="41"/>
      <c r="V13" s="42"/>
      <c r="W13" s="14"/>
      <c r="X13" s="14"/>
      <c r="Y13" s="14"/>
      <c r="Z13" s="14"/>
    </row>
    <row r="14" spans="5:26" x14ac:dyDescent="0.3">
      <c r="E14" s="11"/>
    </row>
    <row r="15" spans="5:26" ht="31.95" customHeight="1" x14ac:dyDescent="0.45">
      <c r="E15" s="11"/>
      <c r="S15" s="24" t="s">
        <v>68</v>
      </c>
      <c r="T15" s="25"/>
      <c r="U15" s="24" t="s">
        <v>69</v>
      </c>
      <c r="V15" s="26">
        <f ca="1">NOW()</f>
        <v>45903.842160532404</v>
      </c>
    </row>
    <row r="16" spans="5:26" ht="15" customHeight="1" x14ac:dyDescent="0.3">
      <c r="E16" s="19"/>
      <c r="F16" s="19"/>
      <c r="H16" s="21"/>
      <c r="I16" s="21"/>
      <c r="J16" s="21"/>
      <c r="K16" s="21"/>
      <c r="L16" s="21"/>
    </row>
    <row r="17" spans="5:21" ht="28.2" customHeight="1" x14ac:dyDescent="0.45">
      <c r="E17" s="19"/>
      <c r="F17" s="19"/>
      <c r="H17" s="21"/>
      <c r="I17" s="21"/>
      <c r="J17" s="21"/>
      <c r="K17" s="21"/>
      <c r="L17" s="21"/>
      <c r="S17" s="24" t="s">
        <v>0</v>
      </c>
      <c r="T17" s="25"/>
    </row>
    <row r="18" spans="5:21" ht="29.4" customHeight="1" x14ac:dyDescent="0.45">
      <c r="E18" s="11"/>
      <c r="S18" s="24" t="s">
        <v>73</v>
      </c>
      <c r="T18" s="25"/>
    </row>
    <row r="19" spans="5:21" ht="29.4" customHeight="1" x14ac:dyDescent="0.45">
      <c r="E19" s="18"/>
      <c r="F19" s="19"/>
      <c r="H19" s="20"/>
      <c r="I19" s="21"/>
      <c r="J19" s="21"/>
      <c r="K19" s="21"/>
      <c r="L19" s="21"/>
      <c r="S19" s="24" t="s">
        <v>2</v>
      </c>
      <c r="T19" s="25"/>
    </row>
    <row r="20" spans="5:21" ht="28.2" customHeight="1" x14ac:dyDescent="0.45">
      <c r="E20" s="19"/>
      <c r="F20" s="19"/>
      <c r="H20" s="21"/>
      <c r="I20" s="21"/>
      <c r="J20" s="21"/>
      <c r="K20" s="21"/>
      <c r="L20" s="21"/>
      <c r="S20" s="24" t="s">
        <v>66</v>
      </c>
      <c r="T20" s="25"/>
      <c r="U20" s="43"/>
    </row>
    <row r="21" spans="5:21" ht="15" customHeight="1" x14ac:dyDescent="0.3">
      <c r="E21" s="19"/>
      <c r="F21" s="19"/>
      <c r="H21" s="21"/>
      <c r="I21" s="21"/>
      <c r="J21" s="21"/>
      <c r="K21" s="21"/>
      <c r="L21" s="21"/>
      <c r="U21" s="43"/>
    </row>
    <row r="22" spans="5:21" x14ac:dyDescent="0.3">
      <c r="E22" s="11"/>
    </row>
    <row r="23" spans="5:21" ht="15" customHeight="1" x14ac:dyDescent="0.3">
      <c r="E23" s="18"/>
      <c r="F23" s="19"/>
      <c r="H23" s="21"/>
      <c r="I23" s="21"/>
      <c r="J23" s="21"/>
      <c r="K23" s="21"/>
      <c r="L23" s="21"/>
    </row>
    <row r="24" spans="5:21" ht="15" customHeight="1" x14ac:dyDescent="0.3">
      <c r="E24" s="19"/>
      <c r="F24" s="19"/>
      <c r="H24" s="21"/>
      <c r="I24" s="21"/>
      <c r="J24" s="21"/>
      <c r="K24" s="21"/>
      <c r="L24" s="21"/>
    </row>
    <row r="25" spans="5:21" ht="15" customHeight="1" x14ac:dyDescent="0.3">
      <c r="E25" s="19"/>
      <c r="F25" s="19"/>
      <c r="H25" s="21"/>
      <c r="I25" s="21"/>
      <c r="J25" s="21"/>
      <c r="K25" s="21"/>
      <c r="L25" s="21"/>
    </row>
    <row r="26" spans="5:21" x14ac:dyDescent="0.3">
      <c r="E26" s="11"/>
      <c r="O26" s="12"/>
    </row>
    <row r="27" spans="5:21" ht="14.4" customHeight="1" x14ac:dyDescent="0.3">
      <c r="E27" s="18"/>
      <c r="F27" s="19"/>
      <c r="K27" s="12"/>
    </row>
    <row r="28" spans="5:21" ht="14.4" customHeight="1" x14ac:dyDescent="0.3">
      <c r="E28" s="19"/>
      <c r="F28" s="19"/>
      <c r="K28" s="12"/>
    </row>
    <row r="29" spans="5:21" ht="14.4" customHeight="1" x14ac:dyDescent="0.3">
      <c r="E29" s="19"/>
      <c r="F29" s="19"/>
    </row>
  </sheetData>
  <mergeCells count="2">
    <mergeCell ref="S8:V13"/>
    <mergeCell ref="U20:U21"/>
  </mergeCells>
  <dataValidations count="4">
    <dataValidation type="list" allowBlank="1" showInputMessage="1" showErrorMessage="1" sqref="F11:F12 T15" xr:uid="{AE356BA3-BBC5-43FE-B6DF-1DEA560D0797}">
      <formula1>"1,2,3,4,5"</formula1>
    </dataValidation>
    <dataValidation type="list" allowBlank="1" showInputMessage="1" showErrorMessage="1" sqref="H19" xr:uid="{B85D2D8A-C615-4B1D-B5D1-4B4202B99982}">
      <formula1>INDIRECT(#REF!)</formula1>
    </dataValidation>
    <dataValidation type="list" allowBlank="1" showInputMessage="1" showErrorMessage="1" sqref="T17" xr:uid="{07C65DE0-ADCF-48DB-A454-4F0E60B0764C}">
      <formula1>Category</formula1>
    </dataValidation>
    <dataValidation type="list" allowBlank="1" showInputMessage="1" showErrorMessage="1" sqref="T18" xr:uid="{6810C65C-BCC9-44F4-B2F4-0BE8DB0B27C1}">
      <formula1>INDIRECT($T$17)</formula1>
    </dataValidation>
  </dataValidations>
  <pageMargins left="0" right="0" top="0.25" bottom="0.25" header="0" footer="0"/>
  <pageSetup paperSize="8" orientation="portrait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2" r:id="rId4" name="Spinner 210">
              <controlPr defaultSize="0" autoPict="0">
                <anchor moveWithCells="1" sizeWithCells="1">
                  <from>
                    <xdr:col>20</xdr:col>
                    <xdr:colOff>388620</xdr:colOff>
                    <xdr:row>19</xdr:row>
                    <xdr:rowOff>0</xdr:rowOff>
                  </from>
                  <to>
                    <xdr:col>20</xdr:col>
                    <xdr:colOff>1341120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16C5FF4-6DF8-41BD-85D3-47D4B4F66C19}">
          <x14:formula1>
            <xm:f>LL_DATA!$C$2:$C$101</xm:f>
          </x14:formula1>
          <xm:sqref>M10</xm:sqref>
        </x14:dataValidation>
        <x14:dataValidation type="list" allowBlank="1" showInputMessage="1" showErrorMessage="1" xr:uid="{A4D380B5-2576-4D7C-AA70-141430AC84DD}">
          <x14:formula1>
            <xm:f>INDEX(DATASET!$AB$4:$AC$286,MATCH($H$19,DATASET!$AB$4:$AB$285,0),MATCH($E$23,DATASET!$AB$4:$AC$4,0))</xm:f>
          </x14:formula1>
          <xm:sqref>H23:L25</xm:sqref>
        </x14:dataValidation>
        <x14:dataValidation type="list" allowBlank="1" showInputMessage="1" showErrorMessage="1" xr:uid="{6ABEA5B8-4E0C-4615-926F-28B50614033F}">
          <x14:formula1>
            <xm:f>INDEX(DATASET!$AB$4:$AC$260,MATCH($T$18,DATASET!$AB$4:$AB$260,0),MATCH($S$19,DATASET!$AB$4:$AC$4,0))</xm:f>
          </x14:formula1>
          <xm:sqref>T19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04AE1-A2A7-40AD-A5D5-0F74B7011E35}">
  <sheetPr codeName="Sheet6"/>
  <dimension ref="G4:AA17"/>
  <sheetViews>
    <sheetView showGridLines="0" tabSelected="1" topLeftCell="P1" zoomScale="65" zoomScaleNormal="92" workbookViewId="0">
      <selection activeCell="V15" sqref="V15"/>
    </sheetView>
  </sheetViews>
  <sheetFormatPr defaultRowHeight="14.4" x14ac:dyDescent="0.3"/>
  <cols>
    <col min="2" max="5" width="0" hidden="1" customWidth="1"/>
    <col min="7" max="7" width="20.109375" customWidth="1"/>
    <col min="8" max="8" width="20.6640625" customWidth="1"/>
    <col min="9" max="9" width="15.6640625" customWidth="1"/>
    <col min="10" max="10" width="17.33203125" customWidth="1"/>
    <col min="11" max="11" width="18.33203125" customWidth="1"/>
    <col min="21" max="21" width="22.33203125" customWidth="1"/>
    <col min="22" max="22" width="22.5546875" customWidth="1"/>
    <col min="23" max="23" width="24.5546875" customWidth="1"/>
    <col min="24" max="24" width="19.33203125" customWidth="1"/>
    <col min="25" max="25" width="21" customWidth="1"/>
    <col min="26" max="26" width="22.109375" customWidth="1"/>
    <col min="27" max="27" width="14.109375" customWidth="1"/>
  </cols>
  <sheetData>
    <row r="4" spans="7:27" ht="14.4" customHeight="1" x14ac:dyDescent="0.3">
      <c r="G4" s="14"/>
      <c r="H4" s="14"/>
      <c r="I4" s="14"/>
      <c r="J4" s="14"/>
      <c r="K4" s="14"/>
      <c r="L4" s="15"/>
      <c r="M4" s="15"/>
      <c r="N4" s="15"/>
      <c r="O4" s="15"/>
    </row>
    <row r="5" spans="7:27" ht="15" customHeight="1" x14ac:dyDescent="0.3">
      <c r="G5" s="14"/>
      <c r="H5" s="14"/>
      <c r="I5" s="14"/>
      <c r="J5" s="14"/>
      <c r="K5" s="14"/>
      <c r="L5" s="15"/>
      <c r="M5" s="15"/>
      <c r="N5" s="15"/>
      <c r="O5" s="15"/>
      <c r="V5" s="44" t="s">
        <v>67</v>
      </c>
      <c r="W5" s="45"/>
      <c r="X5" s="45"/>
      <c r="Y5" s="45"/>
      <c r="Z5" s="46"/>
      <c r="AA5" s="15"/>
    </row>
    <row r="6" spans="7:27" ht="15" customHeight="1" x14ac:dyDescent="0.3">
      <c r="G6" s="14"/>
      <c r="H6" s="14"/>
      <c r="I6" s="14"/>
      <c r="J6" s="14"/>
      <c r="K6" s="14"/>
      <c r="L6" s="15"/>
      <c r="M6" s="15"/>
      <c r="N6" s="15"/>
      <c r="O6" s="15"/>
      <c r="V6" s="47"/>
      <c r="W6" s="48"/>
      <c r="X6" s="48"/>
      <c r="Y6" s="48"/>
      <c r="Z6" s="49"/>
      <c r="AA6" s="15"/>
    </row>
    <row r="7" spans="7:27" ht="15" customHeight="1" x14ac:dyDescent="0.3">
      <c r="G7" s="14"/>
      <c r="H7" s="14"/>
      <c r="I7" s="14"/>
      <c r="J7" s="14"/>
      <c r="K7" s="14"/>
      <c r="L7" s="15"/>
      <c r="M7" s="15"/>
      <c r="N7" s="15"/>
      <c r="O7" s="15"/>
      <c r="V7" s="47"/>
      <c r="W7" s="48"/>
      <c r="X7" s="48"/>
      <c r="Y7" s="48"/>
      <c r="Z7" s="49"/>
      <c r="AA7" s="15"/>
    </row>
    <row r="8" spans="7:27" ht="15" customHeight="1" x14ac:dyDescent="0.3">
      <c r="G8" s="14"/>
      <c r="H8" s="14"/>
      <c r="I8" s="14"/>
      <c r="J8" s="14"/>
      <c r="K8" s="14"/>
      <c r="L8" s="15"/>
      <c r="M8" s="15"/>
      <c r="N8" s="15"/>
      <c r="O8" s="15"/>
      <c r="V8" s="47"/>
      <c r="W8" s="48"/>
      <c r="X8" s="48"/>
      <c r="Y8" s="48"/>
      <c r="Z8" s="49"/>
      <c r="AA8" s="15"/>
    </row>
    <row r="9" spans="7:27" x14ac:dyDescent="0.3">
      <c r="G9" s="12"/>
      <c r="V9" s="50"/>
      <c r="W9" s="51"/>
      <c r="X9" s="51"/>
      <c r="Y9" s="51"/>
      <c r="Z9" s="52"/>
      <c r="AA9" s="15"/>
    </row>
    <row r="10" spans="7:27" ht="18" x14ac:dyDescent="0.35">
      <c r="G10" s="27"/>
      <c r="J10" s="27"/>
      <c r="U10" s="31"/>
      <c r="V10" s="31"/>
      <c r="W10" s="31"/>
      <c r="X10" s="31"/>
      <c r="Y10" s="31"/>
      <c r="Z10" s="31"/>
    </row>
    <row r="11" spans="7:27" ht="19.8" x14ac:dyDescent="0.4">
      <c r="G11" s="27"/>
      <c r="H11" s="28"/>
      <c r="U11" s="31"/>
      <c r="V11" s="32" t="s">
        <v>68</v>
      </c>
      <c r="W11">
        <v>1</v>
      </c>
      <c r="X11" s="31"/>
      <c r="Y11" s="32" t="s">
        <v>72</v>
      </c>
      <c r="Z11" s="33">
        <f>SUM(Z16:Z1021)</f>
        <v>300</v>
      </c>
    </row>
    <row r="12" spans="7:27" ht="19.8" x14ac:dyDescent="0.4">
      <c r="U12" s="31"/>
      <c r="V12" s="32" t="s">
        <v>69</v>
      </c>
      <c r="W12" s="30">
        <f ca="1">NOW()</f>
        <v>45903.842160532404</v>
      </c>
      <c r="X12" s="31"/>
      <c r="Y12" s="31"/>
      <c r="Z12" s="31"/>
    </row>
    <row r="13" spans="7:27" ht="18" x14ac:dyDescent="0.35">
      <c r="G13" s="27"/>
      <c r="H13" s="27"/>
      <c r="I13" s="27"/>
      <c r="J13" s="27"/>
      <c r="K13" s="27"/>
      <c r="U13" s="31"/>
      <c r="V13" s="31"/>
      <c r="W13" s="31"/>
      <c r="X13" s="31"/>
      <c r="Y13" s="31"/>
      <c r="Z13" s="31"/>
    </row>
    <row r="14" spans="7:27" ht="19.8" x14ac:dyDescent="0.4">
      <c r="G14" s="27"/>
      <c r="H14" s="27"/>
      <c r="I14" s="27"/>
      <c r="J14" s="27"/>
      <c r="K14" s="27"/>
      <c r="U14" s="31"/>
      <c r="V14" s="32" t="s">
        <v>0</v>
      </c>
      <c r="W14" s="32" t="s">
        <v>70</v>
      </c>
      <c r="X14" s="32" t="s">
        <v>2</v>
      </c>
      <c r="Y14" s="32" t="s">
        <v>66</v>
      </c>
      <c r="Z14" s="32" t="s">
        <v>71</v>
      </c>
    </row>
    <row r="15" spans="7:27" ht="19.8" x14ac:dyDescent="0.4">
      <c r="G15" s="27"/>
      <c r="H15" s="27"/>
      <c r="I15" s="27"/>
      <c r="J15" s="27"/>
      <c r="K15" s="27"/>
      <c r="U15" s="31"/>
      <c r="V15" s="53"/>
      <c r="W15" s="53"/>
      <c r="X15" s="53"/>
      <c r="Y15" s="53"/>
      <c r="Z15" s="53"/>
    </row>
    <row r="16" spans="7:27" ht="18" x14ac:dyDescent="0.35">
      <c r="G16" s="27"/>
      <c r="H16" s="27"/>
      <c r="I16" s="27"/>
      <c r="J16" s="27"/>
      <c r="K16" s="27"/>
      <c r="U16" s="31"/>
      <c r="V16" t="s">
        <v>6</v>
      </c>
      <c r="W16" t="s">
        <v>64</v>
      </c>
      <c r="X16">
        <v>80</v>
      </c>
      <c r="Y16">
        <v>2</v>
      </c>
      <c r="Z16">
        <f>X16*Y16</f>
        <v>160</v>
      </c>
    </row>
    <row r="17" spans="7:26" ht="18" x14ac:dyDescent="0.35">
      <c r="G17" s="27"/>
      <c r="H17" s="27"/>
      <c r="I17" s="27"/>
      <c r="J17" s="27"/>
      <c r="K17" s="27"/>
      <c r="U17" s="31"/>
      <c r="V17" t="s">
        <v>44</v>
      </c>
      <c r="W17" t="s">
        <v>50</v>
      </c>
      <c r="X17">
        <v>70</v>
      </c>
      <c r="Y17">
        <v>2</v>
      </c>
      <c r="Z17">
        <f>X17*Y17</f>
        <v>140</v>
      </c>
    </row>
  </sheetData>
  <mergeCells count="1">
    <mergeCell ref="V5:Z9"/>
  </mergeCells>
  <pageMargins left="0" right="0" top="0" bottom="0" header="0" footer="0"/>
  <pageSetup paperSize="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43</vt:i4>
      </vt:variant>
    </vt:vector>
  </HeadingPairs>
  <TitlesOfParts>
    <vt:vector size="53" baseType="lpstr">
      <vt:lpstr>LL_DATA</vt:lpstr>
      <vt:lpstr>DATASET</vt:lpstr>
      <vt:lpstr>Table2 data</vt:lpstr>
      <vt:lpstr>REPORT5</vt:lpstr>
      <vt:lpstr>REPORT2</vt:lpstr>
      <vt:lpstr>REPORT3</vt:lpstr>
      <vt:lpstr>REPORT4</vt:lpstr>
      <vt:lpstr>REPORTS</vt:lpstr>
      <vt:lpstr>WAITER</vt:lpstr>
      <vt:lpstr>Bill</vt:lpstr>
      <vt:lpstr>Beverages</vt:lpstr>
      <vt:lpstr>Bhel_Puri</vt:lpstr>
      <vt:lpstr>Brades</vt:lpstr>
      <vt:lpstr>Brownie</vt:lpstr>
      <vt:lpstr>Butter_Chicken</vt:lpstr>
      <vt:lpstr>Category</vt:lpstr>
      <vt:lpstr>Chinese</vt:lpstr>
      <vt:lpstr>Chole_Bhature</vt:lpstr>
      <vt:lpstr>Chowmein</vt:lpstr>
      <vt:lpstr>Cold_Coffee</vt:lpstr>
      <vt:lpstr>Dal_Makhani</vt:lpstr>
      <vt:lpstr>Desserts</vt:lpstr>
      <vt:lpstr>Fresh_Lime_Soda</vt:lpstr>
      <vt:lpstr>Fried_Rice</vt:lpstr>
      <vt:lpstr>Gulab_Jamun</vt:lpstr>
      <vt:lpstr>Hakka_Noodles</vt:lpstr>
      <vt:lpstr>Ice_Cream</vt:lpstr>
      <vt:lpstr>Idli_Sambar</vt:lpstr>
      <vt:lpstr>Kachori</vt:lpstr>
      <vt:lpstr>Kheer</vt:lpstr>
      <vt:lpstr>Lassi</vt:lpstr>
      <vt:lpstr>Manchurian</vt:lpstr>
      <vt:lpstr>Marathi_Dishes</vt:lpstr>
      <vt:lpstr>Masala_Dosa</vt:lpstr>
      <vt:lpstr>Medu_Vada</vt:lpstr>
      <vt:lpstr>Milkshake</vt:lpstr>
      <vt:lpstr>Misal_Pav</vt:lpstr>
      <vt:lpstr>Poha</vt:lpstr>
      <vt:lpstr>Bill!Print_Area</vt:lpstr>
      <vt:lpstr>Punjabi_Dishes</vt:lpstr>
      <vt:lpstr>Puran_Poli</vt:lpstr>
      <vt:lpstr>Rasgulla</vt:lpstr>
      <vt:lpstr>Rice</vt:lpstr>
      <vt:lpstr>Samosa</vt:lpstr>
      <vt:lpstr>Shahi_Paneer</vt:lpstr>
      <vt:lpstr>Snacks</vt:lpstr>
      <vt:lpstr>South_Indian_Dishes</vt:lpstr>
      <vt:lpstr>Spring_Roll</vt:lpstr>
      <vt:lpstr>Thalipeeth</vt:lpstr>
      <vt:lpstr>Upma</vt:lpstr>
      <vt:lpstr>Uttapam</vt:lpstr>
      <vt:lpstr>Vada_Pav</vt:lpstr>
      <vt:lpstr>Zunka_Bhakri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yash bagade</cp:lastModifiedBy>
  <cp:lastPrinted>2025-09-03T14:31:09Z</cp:lastPrinted>
  <dcterms:created xsi:type="dcterms:W3CDTF">2025-08-29T09:19:26Z</dcterms:created>
  <dcterms:modified xsi:type="dcterms:W3CDTF">2025-09-03T14:45:44Z</dcterms:modified>
</cp:coreProperties>
</file>